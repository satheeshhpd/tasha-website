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visible" name="Order list" sheetId="2" r:id="rId6"/>
    <sheet state="visible" name="SELL" sheetId="3" r:id="rId7"/>
    <sheet state="visible" name="Sheet3" sheetId="4" r:id="rId8"/>
  </sheets>
  <definedNames>
    <definedName hidden="1" localSheetId="1" name="_xlnm._FilterDatabase">'Order list'!$B$4:$AA$104</definedName>
    <definedName hidden="1" localSheetId="2" name="_xlnm._FilterDatabase">SELL!$A$1:$AA$87</definedName>
  </definedNames>
  <calcPr/>
</workbook>
</file>

<file path=xl/sharedStrings.xml><?xml version="1.0" encoding="utf-8"?>
<sst xmlns="http://schemas.openxmlformats.org/spreadsheetml/2006/main" count="1049" uniqueCount="477">
  <si>
    <t>No</t>
  </si>
  <si>
    <t>Product Code</t>
  </si>
  <si>
    <t>Name</t>
  </si>
  <si>
    <t>sku</t>
  </si>
  <si>
    <t>Size</t>
  </si>
  <si>
    <t>Qty</t>
  </si>
  <si>
    <t>Value</t>
  </si>
  <si>
    <t>QTY X VALUE</t>
  </si>
  <si>
    <t>Category</t>
  </si>
  <si>
    <t xml:space="preserve">Dance </t>
  </si>
  <si>
    <t>Suta price AUD</t>
  </si>
  <si>
    <t>Costume</t>
  </si>
  <si>
    <t>Costume (INR)</t>
  </si>
  <si>
    <t xml:space="preserve">Category </t>
  </si>
  <si>
    <t>Costume (AUD)</t>
  </si>
  <si>
    <t>Tasha Sales price ($)</t>
  </si>
  <si>
    <t>Costume (Rent)</t>
  </si>
  <si>
    <t>Discount</t>
  </si>
  <si>
    <t>Sold Prize</t>
  </si>
  <si>
    <t>Paid</t>
  </si>
  <si>
    <t>Customer</t>
  </si>
  <si>
    <t>Bhavani</t>
  </si>
  <si>
    <t xml:space="preserve">Chanda hai tu </t>
  </si>
  <si>
    <t>Saree</t>
  </si>
  <si>
    <t>TD-S001</t>
  </si>
  <si>
    <t>Kesar ink</t>
  </si>
  <si>
    <t>SUTAMIH500</t>
  </si>
  <si>
    <t>Vaishnavi</t>
  </si>
  <si>
    <t>Beet and Turnip</t>
  </si>
  <si>
    <t>Prakruti</t>
  </si>
  <si>
    <t>Passion</t>
  </si>
  <si>
    <t>Malini</t>
  </si>
  <si>
    <t>Imperfection</t>
  </si>
  <si>
    <t>Indrani saree</t>
  </si>
  <si>
    <t>Cosmos</t>
  </si>
  <si>
    <t>Lilac dreams</t>
  </si>
  <si>
    <t>Kesar and Plum</t>
  </si>
  <si>
    <t>Jasper vesper</t>
  </si>
  <si>
    <t>Parallel Universe</t>
  </si>
  <si>
    <t>Raga Megh Malhar</t>
  </si>
  <si>
    <t>Raga Asavari</t>
  </si>
  <si>
    <t>Raga Kafi</t>
  </si>
  <si>
    <t>TD-S002</t>
  </si>
  <si>
    <t>Gulabi kalakand</t>
  </si>
  <si>
    <t>Raga Bhairavi</t>
  </si>
  <si>
    <t xml:space="preserve">SUTAWS812 </t>
  </si>
  <si>
    <t>Raga Brindavan Sarang</t>
  </si>
  <si>
    <t>Raga Sahana</t>
  </si>
  <si>
    <t>Raga Saama</t>
  </si>
  <si>
    <t>TD-S003</t>
  </si>
  <si>
    <t>Harshitha</t>
  </si>
  <si>
    <t>SUTATP0917D</t>
  </si>
  <si>
    <t>Raga Hamsadhvani</t>
  </si>
  <si>
    <t xml:space="preserve"> </t>
  </si>
  <si>
    <t>Raga Todi</t>
  </si>
  <si>
    <t>Bold black</t>
  </si>
  <si>
    <t>TD-S004</t>
  </si>
  <si>
    <t>Inked star</t>
  </si>
  <si>
    <t xml:space="preserve">SUTAMIH126 </t>
  </si>
  <si>
    <t>Midnight blue</t>
  </si>
  <si>
    <t>Coral salmon</t>
  </si>
  <si>
    <t>Pink rose princess</t>
  </si>
  <si>
    <t>TD-S005</t>
  </si>
  <si>
    <t>Evergreen in kerala</t>
  </si>
  <si>
    <t xml:space="preserve">SUTAMIH139 </t>
  </si>
  <si>
    <t>Off white Mul Saree</t>
  </si>
  <si>
    <t>Cinnamon Dust</t>
  </si>
  <si>
    <t>Baby asparagus</t>
  </si>
  <si>
    <t>TD-S006</t>
  </si>
  <si>
    <t>Shaola</t>
  </si>
  <si>
    <t>SUTAMIH077</t>
  </si>
  <si>
    <t>Vintage tracks</t>
  </si>
  <si>
    <t>Raw ink Mul</t>
  </si>
  <si>
    <t>Ode To Greens</t>
  </si>
  <si>
    <t>TD-S007</t>
  </si>
  <si>
    <t>Dilruba</t>
  </si>
  <si>
    <t>SUTAWS763</t>
  </si>
  <si>
    <t>Kochu Pata</t>
  </si>
  <si>
    <t>Water Hyacinth</t>
  </si>
  <si>
    <t>Pink Frangipani</t>
  </si>
  <si>
    <t>TD-S008</t>
  </si>
  <si>
    <t>Laal chumki</t>
  </si>
  <si>
    <t xml:space="preserve">SUTAWS240 </t>
  </si>
  <si>
    <t>Rustic</t>
  </si>
  <si>
    <t>Kalo e chumki</t>
  </si>
  <si>
    <t>Strawberry or raspberry?</t>
  </si>
  <si>
    <t>TD-S009</t>
  </si>
  <si>
    <t>Firefly</t>
  </si>
  <si>
    <t>SUTATP0806C</t>
  </si>
  <si>
    <t>Loud Sitara</t>
  </si>
  <si>
    <t>Asthir jawa kusum</t>
  </si>
  <si>
    <t>Hottest Sitara</t>
  </si>
  <si>
    <t>Pure Sitara</t>
  </si>
  <si>
    <t>Impulsive Sitara</t>
  </si>
  <si>
    <t>TD-S010</t>
  </si>
  <si>
    <t>Winter star</t>
  </si>
  <si>
    <t>SUTATP0805C</t>
  </si>
  <si>
    <t>Cinnamon dust chumki</t>
  </si>
  <si>
    <t>Lemon yellow chumki</t>
  </si>
  <si>
    <t>Love chess</t>
  </si>
  <si>
    <t>paid</t>
  </si>
  <si>
    <t>Pritika</t>
  </si>
  <si>
    <t>TD-S011</t>
  </si>
  <si>
    <t>SUTAMIH078</t>
  </si>
  <si>
    <t>Evergreen in Kerala</t>
  </si>
  <si>
    <t>Lotus in Thirunavaya</t>
  </si>
  <si>
    <t>TD-S012</t>
  </si>
  <si>
    <t>Manjaadi</t>
  </si>
  <si>
    <t>Inky inky ponky</t>
  </si>
  <si>
    <t xml:space="preserve">SUTAMIH325 </t>
  </si>
  <si>
    <t>Morning stars</t>
  </si>
  <si>
    <t>Village In Heaven</t>
  </si>
  <si>
    <t>Gold mine polka</t>
  </si>
  <si>
    <t>TD-S013</t>
  </si>
  <si>
    <t>Beet and turnip</t>
  </si>
  <si>
    <t>SUTAACR04</t>
  </si>
  <si>
    <t>The Evening Rendezvous</t>
  </si>
  <si>
    <t>Jheel</t>
  </si>
  <si>
    <t>Laal Chumki</t>
  </si>
  <si>
    <t>TD-S014</t>
  </si>
  <si>
    <t>SUTASLB01</t>
  </si>
  <si>
    <t>Raspberry Chumki</t>
  </si>
  <si>
    <t>Mustard e chumki</t>
  </si>
  <si>
    <t>TD-S015</t>
  </si>
  <si>
    <t>Deep Blue Sea Chumki</t>
  </si>
  <si>
    <t>SUTAACR10</t>
  </si>
  <si>
    <t>Firefly e chumki</t>
  </si>
  <si>
    <t>Vaidehi</t>
  </si>
  <si>
    <t>Wine soaked olive</t>
  </si>
  <si>
    <t>Vampire chumki</t>
  </si>
  <si>
    <t>India calling</t>
  </si>
  <si>
    <t>TD-S016</t>
  </si>
  <si>
    <t>Gulbahar</t>
  </si>
  <si>
    <t>SUTATP0860A</t>
  </si>
  <si>
    <t>Mahogany</t>
  </si>
  <si>
    <t>Barfi</t>
  </si>
  <si>
    <t>Regent Honeyeater</t>
  </si>
  <si>
    <t>TD-S017</t>
  </si>
  <si>
    <t>The new beginning</t>
  </si>
  <si>
    <t>SUTATP0671B</t>
  </si>
  <si>
    <t>Sukoon Ke Rang</t>
  </si>
  <si>
    <t>Urja</t>
  </si>
  <si>
    <t>TD-S018</t>
  </si>
  <si>
    <t>Sunset star</t>
  </si>
  <si>
    <t>SUTAMIH128</t>
  </si>
  <si>
    <t>Dharani</t>
  </si>
  <si>
    <t>Vaidehi Kaira</t>
  </si>
  <si>
    <t>Vaidehi Vidya</t>
  </si>
  <si>
    <t>Shanthi</t>
  </si>
  <si>
    <t>Life of the Party</t>
  </si>
  <si>
    <t>TD-S019</t>
  </si>
  <si>
    <t>Pihu</t>
  </si>
  <si>
    <t>Blouse</t>
  </si>
  <si>
    <t>S</t>
  </si>
  <si>
    <t>Bells of ireland</t>
  </si>
  <si>
    <t>Aasmani Fiza</t>
  </si>
  <si>
    <t xml:space="preserve">SUTAACR09 </t>
  </si>
  <si>
    <t>Aavani</t>
  </si>
  <si>
    <t>Their phool</t>
  </si>
  <si>
    <t>Her Phool</t>
  </si>
  <si>
    <t>hetal</t>
  </si>
  <si>
    <t>Which Phool</t>
  </si>
  <si>
    <t>M</t>
  </si>
  <si>
    <t>TD-S020</t>
  </si>
  <si>
    <t>Morni jawa kusum</t>
  </si>
  <si>
    <t>SUTATP0749C</t>
  </si>
  <si>
    <t>Betul</t>
  </si>
  <si>
    <t>Shonajhuri</t>
  </si>
  <si>
    <t>Sprinkles Saree</t>
  </si>
  <si>
    <t>TD-S021</t>
  </si>
  <si>
    <t>Sameer Nandini</t>
  </si>
  <si>
    <t>Tandoori rose</t>
  </si>
  <si>
    <t>SUTAMIH537</t>
  </si>
  <si>
    <t>Neon imli</t>
  </si>
  <si>
    <t>Azaad rooh</t>
  </si>
  <si>
    <t>Hara jamun</t>
  </si>
  <si>
    <t>Kacchi Imli</t>
  </si>
  <si>
    <t>TD-S022</t>
  </si>
  <si>
    <t>Vasudha saree</t>
  </si>
  <si>
    <t>Huntress</t>
  </si>
  <si>
    <t>SUTATP0784</t>
  </si>
  <si>
    <t>Laal gul</t>
  </si>
  <si>
    <t>SUTAB1512C</t>
  </si>
  <si>
    <t>Bondona</t>
  </si>
  <si>
    <t>Paapia</t>
  </si>
  <si>
    <t>Priyanka</t>
  </si>
  <si>
    <t>TD-S023</t>
  </si>
  <si>
    <t>Nimbu bling</t>
  </si>
  <si>
    <t>SUTAAT2099I</t>
  </si>
  <si>
    <t>NOT THR</t>
  </si>
  <si>
    <t>Poli</t>
  </si>
  <si>
    <t>Rimpa</t>
  </si>
  <si>
    <t>foram Parikh</t>
  </si>
  <si>
    <t>Pampa</t>
  </si>
  <si>
    <t>Code Black</t>
  </si>
  <si>
    <t>Rohi</t>
  </si>
  <si>
    <t>TD-S024</t>
  </si>
  <si>
    <t>Dancing dhoop</t>
  </si>
  <si>
    <t>SUTAMIH4</t>
  </si>
  <si>
    <t>Jaloka</t>
  </si>
  <si>
    <t>Basic gulabi</t>
  </si>
  <si>
    <t>Coal Eri (Blouse)</t>
  </si>
  <si>
    <t xml:space="preserve">Blouse </t>
  </si>
  <si>
    <t>Code Black (Blouse)</t>
  </si>
  <si>
    <t>TD-S025</t>
  </si>
  <si>
    <t>Sarso sa basant</t>
  </si>
  <si>
    <t>White eri ( Blouse )</t>
  </si>
  <si>
    <t xml:space="preserve">SUTAMIH526 </t>
  </si>
  <si>
    <t>Basic Baingani (Blouse)</t>
  </si>
  <si>
    <t>Gothic Dreams</t>
  </si>
  <si>
    <t>Basic Kattha (Blouse)</t>
  </si>
  <si>
    <t>Basic gulabi (blouse)</t>
  </si>
  <si>
    <t>TD-S026</t>
  </si>
  <si>
    <t>Beguni</t>
  </si>
  <si>
    <t>SUTAMIH459</t>
  </si>
  <si>
    <t>Gothic Rubellite</t>
  </si>
  <si>
    <t>Basic Chandni (Blouse)</t>
  </si>
  <si>
    <t>Basic skin (Blouse)</t>
  </si>
  <si>
    <t>TD-S027</t>
  </si>
  <si>
    <t>Cheri</t>
  </si>
  <si>
    <t>SUTAMIH463</t>
  </si>
  <si>
    <t>Black Glitz (Blouse)</t>
  </si>
  <si>
    <t>Blue Glitz (Blouse)</t>
  </si>
  <si>
    <t>Gold Glitz (Blouse)</t>
  </si>
  <si>
    <t>TD-S028</t>
  </si>
  <si>
    <t>Ornella</t>
  </si>
  <si>
    <t>SUTATP0595</t>
  </si>
  <si>
    <t>Dry Cherry</t>
  </si>
  <si>
    <t>Crimson Cranberry</t>
  </si>
  <si>
    <t>Anita</t>
  </si>
  <si>
    <t>TD-S029</t>
  </si>
  <si>
    <t>Pink Perfection</t>
  </si>
  <si>
    <t>Neon Imli</t>
  </si>
  <si>
    <t xml:space="preserve">SUTAMIH498 </t>
  </si>
  <si>
    <t>Tulasi</t>
  </si>
  <si>
    <t>Aambal</t>
  </si>
  <si>
    <t>TD-S030</t>
  </si>
  <si>
    <t>Manasa</t>
  </si>
  <si>
    <t>SUTATP0438</t>
  </si>
  <si>
    <t>Rahul Pooja</t>
  </si>
  <si>
    <t>Samar Akira</t>
  </si>
  <si>
    <t>Raghu Tara</t>
  </si>
  <si>
    <t>TD-S031</t>
  </si>
  <si>
    <t>Haldi Hustle</t>
  </si>
  <si>
    <t xml:space="preserve">SUTAMIH492 </t>
  </si>
  <si>
    <t>Yellow Phool</t>
  </si>
  <si>
    <t>Blue Phool</t>
  </si>
  <si>
    <t>TD-S032</t>
  </si>
  <si>
    <t>Dipped in mulberry</t>
  </si>
  <si>
    <t>SUTAACR107</t>
  </si>
  <si>
    <t>Pink Phool</t>
  </si>
  <si>
    <t>Green Phool</t>
  </si>
  <si>
    <t>Everyday Alat Palat</t>
  </si>
  <si>
    <t>TD-S033</t>
  </si>
  <si>
    <t>SUTAMOD07</t>
  </si>
  <si>
    <t>Dreamy Alat Palat</t>
  </si>
  <si>
    <t>Work Alat Palat</t>
  </si>
  <si>
    <t>Nimmi</t>
  </si>
  <si>
    <t>TD-S034</t>
  </si>
  <si>
    <t>Kora Khat</t>
  </si>
  <si>
    <t xml:space="preserve">SUTAMIH141 </t>
  </si>
  <si>
    <t>Grinding in green saree</t>
  </si>
  <si>
    <t>Honey Dew Polka Saree</t>
  </si>
  <si>
    <t>Prakruti Saree</t>
  </si>
  <si>
    <t>TD-S035</t>
  </si>
  <si>
    <t>Yellow in Jaisalmer</t>
  </si>
  <si>
    <t xml:space="preserve">SUTAMIH145 </t>
  </si>
  <si>
    <t>The Big Cat Saree</t>
  </si>
  <si>
    <t>Move Mountains Saree</t>
  </si>
  <si>
    <t>Midnight Stripes</t>
  </si>
  <si>
    <t>TD-S036</t>
  </si>
  <si>
    <t>Aasmani fiza</t>
  </si>
  <si>
    <t>SUTAMIH369</t>
  </si>
  <si>
    <t>Sanjay</t>
  </si>
  <si>
    <t>Bloom at the Border</t>
  </si>
  <si>
    <t>TD-S037</t>
  </si>
  <si>
    <t>Shayrana dor</t>
  </si>
  <si>
    <t>SUTAMIH372</t>
  </si>
  <si>
    <t>Double Trouble - Off white &amp; Red</t>
  </si>
  <si>
    <t>TD-S038</t>
  </si>
  <si>
    <t>Bossy caramel</t>
  </si>
  <si>
    <t>SUTAMIH086</t>
  </si>
  <si>
    <t>Amar Rekha</t>
  </si>
  <si>
    <t>Jalrang</t>
  </si>
  <si>
    <t>TD-S039</t>
  </si>
  <si>
    <t>Meraki maroon lines</t>
  </si>
  <si>
    <t xml:space="preserve">SUTAMIH096 </t>
  </si>
  <si>
    <t>Surkh Saanjh</t>
  </si>
  <si>
    <t>Xanthous,Amber</t>
  </si>
  <si>
    <t>Surkh Kali</t>
  </si>
  <si>
    <t>Ritu Rang</t>
  </si>
  <si>
    <t>TD-S040</t>
  </si>
  <si>
    <t>Vaidehi Shashi</t>
  </si>
  <si>
    <t xml:space="preserve">SUTACOT185 </t>
  </si>
  <si>
    <t>Balai</t>
  </si>
  <si>
    <t>Dil ki baatein</t>
  </si>
  <si>
    <t>Woh Sherni</t>
  </si>
  <si>
    <t>TD-S041</t>
  </si>
  <si>
    <t>Prafull</t>
  </si>
  <si>
    <t xml:space="preserve">SUTACOT315 </t>
  </si>
  <si>
    <t>TD-S042</t>
  </si>
  <si>
    <t>Rust e chumki</t>
  </si>
  <si>
    <t xml:space="preserve">SUTAWS242 </t>
  </si>
  <si>
    <t>Blooming in the night</t>
  </si>
  <si>
    <t>Bleeding in black</t>
  </si>
  <si>
    <t>Moumita</t>
  </si>
  <si>
    <t>Semal Sa Basant</t>
  </si>
  <si>
    <t>TD-S043</t>
  </si>
  <si>
    <t xml:space="preserve">SUTAMIH129 </t>
  </si>
  <si>
    <t>Fuchsia Fiza</t>
  </si>
  <si>
    <t>Off Line Rekha</t>
  </si>
  <si>
    <t>Main Line Rekha</t>
  </si>
  <si>
    <t>TD-S044</t>
  </si>
  <si>
    <t>Dipped in coral</t>
  </si>
  <si>
    <t xml:space="preserve">SUTAMIH517 </t>
  </si>
  <si>
    <t>Anxious Sitara</t>
  </si>
  <si>
    <t>Lal Zafri Zari Saree</t>
  </si>
  <si>
    <t>TD-S045</t>
  </si>
  <si>
    <t>Jashn ka rang</t>
  </si>
  <si>
    <t>SUTAACR86</t>
  </si>
  <si>
    <t>TD-S046</t>
  </si>
  <si>
    <t>Gehrua sa rang</t>
  </si>
  <si>
    <t>SUTAACR87</t>
  </si>
  <si>
    <t>TD-S047</t>
  </si>
  <si>
    <t>Panna Gulnaar</t>
  </si>
  <si>
    <t>SUTATP1091E</t>
  </si>
  <si>
    <t>TD-S048</t>
  </si>
  <si>
    <t>Kesariya</t>
  </si>
  <si>
    <t xml:space="preserve">SUTAMIH411 </t>
  </si>
  <si>
    <t>TD-S049</t>
  </si>
  <si>
    <t xml:space="preserve">Loud Sitara </t>
  </si>
  <si>
    <t xml:space="preserve">SUTAMIH109 </t>
  </si>
  <si>
    <t>TD-S050</t>
  </si>
  <si>
    <t>Impulsive sitara</t>
  </si>
  <si>
    <t xml:space="preserve">SUTAMIH115 </t>
  </si>
  <si>
    <t>TD-S051</t>
  </si>
  <si>
    <t>Hottest sitara</t>
  </si>
  <si>
    <t xml:space="preserve">SUTAMIH111 </t>
  </si>
  <si>
    <t>TD-S052</t>
  </si>
  <si>
    <t>SUTAMIH107</t>
  </si>
  <si>
    <t>Lal mirchi</t>
  </si>
  <si>
    <t>TD-S053</t>
  </si>
  <si>
    <t>SUTALIN16</t>
  </si>
  <si>
    <t>TD-S054</t>
  </si>
  <si>
    <t>SUTALIN15</t>
  </si>
  <si>
    <t>TD-B001</t>
  </si>
  <si>
    <t>Basic raat</t>
  </si>
  <si>
    <t>SUTAB1418B</t>
  </si>
  <si>
    <t>s</t>
  </si>
  <si>
    <t>TD-B002</t>
  </si>
  <si>
    <t>Basic laal</t>
  </si>
  <si>
    <t xml:space="preserve">SUTAB349C </t>
  </si>
  <si>
    <t>TD-B003</t>
  </si>
  <si>
    <t>SUTAB1418C</t>
  </si>
  <si>
    <t>Forest Majesty</t>
  </si>
  <si>
    <t>Eclipse star</t>
  </si>
  <si>
    <t>SUTAMIH121</t>
  </si>
  <si>
    <t>Free Size</t>
  </si>
  <si>
    <t>$ 108</t>
  </si>
  <si>
    <t>$ 270</t>
  </si>
  <si>
    <t>$ 243</t>
  </si>
  <si>
    <t>In Stock</t>
  </si>
  <si>
    <t>TD-B005</t>
  </si>
  <si>
    <t>Jamanthi</t>
  </si>
  <si>
    <t>SUTAB1226B</t>
  </si>
  <si>
    <t>TD-B006</t>
  </si>
  <si>
    <t>Too pink to Handle</t>
  </si>
  <si>
    <t>SUTAB1646B</t>
  </si>
  <si>
    <t>TD-B007</t>
  </si>
  <si>
    <t>SUTAB1646C</t>
  </si>
  <si>
    <t>TD-B008</t>
  </si>
  <si>
    <t>Black Phool</t>
  </si>
  <si>
    <t>SUTAB1594B</t>
  </si>
  <si>
    <t>$ 117</t>
  </si>
  <si>
    <t>$ 105</t>
  </si>
  <si>
    <t>TD-B009</t>
  </si>
  <si>
    <t xml:space="preserve">SUTAB1594C </t>
  </si>
  <si>
    <t>Bestseller</t>
  </si>
  <si>
    <t>TD-B010</t>
  </si>
  <si>
    <t>Drama Bindu</t>
  </si>
  <si>
    <t>SUTAB1668B</t>
  </si>
  <si>
    <t>TD-B011</t>
  </si>
  <si>
    <t>SUTAB1668C</t>
  </si>
  <si>
    <t>TD-B012</t>
  </si>
  <si>
    <t>SUTAB1137B</t>
  </si>
  <si>
    <t>TD-B013</t>
  </si>
  <si>
    <t>SUTAB1137C</t>
  </si>
  <si>
    <t>TD-B014</t>
  </si>
  <si>
    <t>Vijay Roma</t>
  </si>
  <si>
    <t>SUTAB1586B</t>
  </si>
  <si>
    <t>TD-B015</t>
  </si>
  <si>
    <t>SUTAB1586C</t>
  </si>
  <si>
    <t>TD-B016</t>
  </si>
  <si>
    <t>Neon line rekha</t>
  </si>
  <si>
    <t>SUTAB1585B</t>
  </si>
  <si>
    <t>TD-B017</t>
  </si>
  <si>
    <t>SUTAB1585C</t>
  </si>
  <si>
    <t>sold</t>
  </si>
  <si>
    <t>TD-B018</t>
  </si>
  <si>
    <t>Beachy Bindu</t>
  </si>
  <si>
    <t>SUTAB1667C</t>
  </si>
  <si>
    <t>TD-B019</t>
  </si>
  <si>
    <t>Sorted Bindu</t>
  </si>
  <si>
    <t>SUTAB1666B</t>
  </si>
  <si>
    <t>TD-B020</t>
  </si>
  <si>
    <t>SUTAB1666C</t>
  </si>
  <si>
    <t>TD-B021</t>
  </si>
  <si>
    <t>Extra Bindu</t>
  </si>
  <si>
    <t>SUTAB1665B</t>
  </si>
  <si>
    <t>TD-B022</t>
  </si>
  <si>
    <t>SUTAB1665C</t>
  </si>
  <si>
    <t>TD-B023</t>
  </si>
  <si>
    <t>SUTAB1554C</t>
  </si>
  <si>
    <t>TD-B024</t>
  </si>
  <si>
    <t>TD-S055</t>
  </si>
  <si>
    <t>Stripe Menopose</t>
  </si>
  <si>
    <t>ST60009</t>
  </si>
  <si>
    <t>S/M</t>
  </si>
  <si>
    <t>TD-S056</t>
  </si>
  <si>
    <t>Roaring in Red Saree</t>
  </si>
  <si>
    <t>SUTATP0661B</t>
  </si>
  <si>
    <t>TD-S057</t>
  </si>
  <si>
    <t>Deep Blue Sea</t>
  </si>
  <si>
    <t>Parijata</t>
  </si>
  <si>
    <t>SUTAMIH032</t>
  </si>
  <si>
    <t>TD-S058</t>
  </si>
  <si>
    <t>red red and more red</t>
  </si>
  <si>
    <t>SUTAMIH013</t>
  </si>
  <si>
    <t>TD-S059</t>
  </si>
  <si>
    <t>Ritu ke Din Saree</t>
  </si>
  <si>
    <t>SUTATP0842C</t>
  </si>
  <si>
    <t>TD-S060</t>
  </si>
  <si>
    <t>SUTAMIH461</t>
  </si>
  <si>
    <t>TD-S061</t>
  </si>
  <si>
    <t>Artistry Saree</t>
  </si>
  <si>
    <t>SUTATP0651</t>
  </si>
  <si>
    <t>TD-S062</t>
  </si>
  <si>
    <t>testrsaree</t>
  </si>
  <si>
    <t>$ 300</t>
  </si>
  <si>
    <t>TD-S063</t>
  </si>
  <si>
    <t>TD-S064</t>
  </si>
  <si>
    <t>TD-S065</t>
  </si>
  <si>
    <t>TD-S066</t>
  </si>
  <si>
    <t>TD-S067</t>
  </si>
  <si>
    <t>TD-S068</t>
  </si>
  <si>
    <t>TD-S069</t>
  </si>
  <si>
    <t>TD-S070</t>
  </si>
  <si>
    <t>TD-S071</t>
  </si>
  <si>
    <t>TD-S072</t>
  </si>
  <si>
    <t>TD-S073</t>
  </si>
  <si>
    <t>TD-S074</t>
  </si>
  <si>
    <t>TD-S075</t>
  </si>
  <si>
    <t>TD-S076</t>
  </si>
  <si>
    <t>TD-S077</t>
  </si>
  <si>
    <t>TD-S078</t>
  </si>
  <si>
    <t>TD-S079</t>
  </si>
  <si>
    <t>TD-S080</t>
  </si>
  <si>
    <t>TD-S081</t>
  </si>
  <si>
    <t>TD-S082</t>
  </si>
  <si>
    <t>TD-S083</t>
  </si>
  <si>
    <t>TD-S084</t>
  </si>
  <si>
    <t>TD-S085</t>
  </si>
  <si>
    <t>TD-S086</t>
  </si>
  <si>
    <t>TD-S087</t>
  </si>
  <si>
    <t>TD-S088</t>
  </si>
  <si>
    <t>TD-S089</t>
  </si>
  <si>
    <t>TD-S090</t>
  </si>
  <si>
    <t>TD-S091</t>
  </si>
  <si>
    <t>TD-S092</t>
  </si>
  <si>
    <t>TD-S093</t>
  </si>
  <si>
    <t>TD-S094</t>
  </si>
  <si>
    <t>TD-S095</t>
  </si>
  <si>
    <t>TD-S096</t>
  </si>
  <si>
    <t>TD-S097</t>
  </si>
  <si>
    <t>TD-S098</t>
  </si>
  <si>
    <t>TD-S099</t>
  </si>
  <si>
    <t>TD-S100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</si>
</sst>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theme="1"/>
      <name val="Calibri"/>
    </font>
    <font>
      <sz val="11.0"/>
      <color rgb="FFFFFFFF"/>
      <name val="Calibri"/>
    </font>
    <font>
      <color theme="1"/>
      <name val="Calibri"/>
    </font>
    <font>
      <sz val="11.0"/>
      <color rgb="FF9C0006"/>
      <name val="Calibri"/>
    </font>
    <font>
      <b/>
      <strike/>
      <color theme="1"/>
      <name val="Calibri"/>
    </font>
    <font>
      <strike/>
      <color theme="1"/>
      <name val="Calibri"/>
    </font>
    <font>
      <sz val="11.0"/>
      <color rgb="FF434343"/>
      <name val="Calibri"/>
    </font>
    <font>
      <strike/>
      <sz val="11.0"/>
      <color rgb="FF000000"/>
      <name val="Calibri"/>
    </font>
    <font>
      <sz val="11.0"/>
      <color rgb="FFFF0000"/>
      <name val="Calibri"/>
    </font>
    <font>
      <sz val="11.0"/>
      <color theme="1"/>
      <name val="Arial"/>
    </font>
    <font>
      <sz val="11.0"/>
      <color theme="1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</fills>
  <borders count="11">
    <border/>
    <border>
      <bottom style="thin">
        <color rgb="FF284E3F"/>
      </bottom>
    </border>
    <border>
      <left style="thin">
        <color rgb="FF284E3F"/>
      </left>
      <right style="thin">
        <color rgb="FF356854"/>
      </right>
      <bottom style="thin">
        <color rgb="FF000000"/>
      </bottom>
    </border>
    <border>
      <right style="thin">
        <color rgb="FF356854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F6F8F9"/>
      </bottom>
    </border>
    <border>
      <right style="thin">
        <color rgb="FF000000"/>
      </right>
      <bottom style="thin">
        <color rgb="FFF6F8F9"/>
      </bottom>
    </border>
    <border>
      <left style="thin">
        <color rgb="FF000000"/>
      </left>
      <right style="thin">
        <color rgb="FF000000"/>
      </right>
      <bottom style="thin">
        <color rgb="FF284E3F"/>
      </bottom>
    </border>
    <border>
      <right style="thin">
        <color rgb="FF000000"/>
      </right>
      <bottom style="thin">
        <color rgb="FF284E3F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2" fontId="3" numFmtId="0" xfId="0" applyAlignment="1" applyFill="1" applyFont="1">
      <alignment readingOrder="0" vertical="bottom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horizontal="left" shrinkToFit="0" vertical="bottom" wrapText="0"/>
    </xf>
    <xf borderId="0" fillId="2" fontId="3" numFmtId="0" xfId="0" applyAlignment="1" applyFill="1" applyFont="1">
      <alignment horizontal="left" readingOrder="0" vertical="bottom"/>
    </xf>
    <xf borderId="1" fillId="0" fontId="1" numFmtId="0" xfId="0" applyAlignment="1" applyBorder="1" applyFont="1">
      <alignment vertical="bottom"/>
    </xf>
    <xf borderId="2" fillId="2" fontId="3" numFmtId="0" xfId="0" applyAlignment="1" applyBorder="1" applyFill="1" applyFont="1">
      <alignment horizontal="left" readingOrder="0" vertical="bottom"/>
    </xf>
    <xf borderId="3" fillId="2" fontId="3" numFmtId="0" xfId="0" applyAlignment="1" applyBorder="1" applyFill="1" applyFont="1">
      <alignment readingOrder="0" vertical="bottom"/>
    </xf>
    <xf borderId="0" fillId="0" fontId="2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2" fillId="2" fontId="3" numFmtId="0" xfId="0" applyAlignment="1" applyBorder="1" applyFill="1" applyFont="1">
      <alignment vertical="bottom"/>
    </xf>
    <xf borderId="4" fillId="2" fontId="3" numFmtId="0" xfId="0" applyAlignment="1" applyBorder="1" applyFill="1" applyFont="1">
      <alignment readingOrder="0" vertical="bottom"/>
    </xf>
    <xf borderId="3" fillId="2" fontId="3" numFmtId="0" xfId="0" applyAlignment="1" applyBorder="1" applyFill="1" applyFont="1">
      <alignment vertical="bottom"/>
    </xf>
    <xf borderId="3" fillId="2" fontId="3" numFmtId="49" xfId="0" applyAlignment="1" applyBorder="1" applyFill="1" applyFont="1" applyNumberFormat="1">
      <alignment vertical="bottom"/>
    </xf>
    <xf borderId="0" fillId="3" fontId="7" numFmtId="0" xfId="0" applyFill="1" applyFont="1"/>
    <xf borderId="0" fillId="0" fontId="4" numFmtId="0" xfId="0" applyAlignment="1" applyFont="1">
      <alignment readingOrder="0" shrinkToFit="0" vertical="bottom" wrapText="0"/>
    </xf>
    <xf borderId="5" fillId="4" fontId="5" numFmtId="0" xfId="0" applyAlignment="1" applyBorder="1" applyFill="1" applyFont="1">
      <alignment readingOrder="0" vertical="bottom"/>
    </xf>
    <xf borderId="4" fillId="3" fontId="4" numFmtId="0" xfId="0" applyAlignment="1" applyBorder="1" applyFill="1" applyFont="1">
      <alignment horizontal="center" readingOrder="0" shrinkToFit="0" vertical="bottom" wrapText="0"/>
    </xf>
    <xf borderId="6" fillId="4" fontId="5" numFmtId="0" xfId="0" applyAlignment="1" applyBorder="1" applyFill="1" applyFont="1">
      <alignment readingOrder="0" vertical="bottom"/>
    </xf>
    <xf borderId="6" fillId="4" fontId="5" numFmtId="0" xfId="0" applyAlignment="1" applyBorder="1" applyFill="1" applyFont="1">
      <alignment vertical="bottom"/>
    </xf>
    <xf borderId="4" fillId="3" fontId="4" numFmtId="0" xfId="0" applyAlignment="1" applyBorder="1" applyFill="1" applyFont="1">
      <alignment horizontal="left" readingOrder="0" shrinkToFit="0" vertical="bottom" wrapText="0"/>
    </xf>
    <xf borderId="6" fillId="4" fontId="8" numFmtId="0" xfId="0" applyAlignment="1" applyBorder="1" applyFill="1" applyFont="1">
      <alignment vertical="bottom"/>
    </xf>
    <xf borderId="4" fillId="0" fontId="4" numFmtId="0" xfId="0" applyAlignment="1" applyBorder="1" applyFont="1">
      <alignment horizontal="center" shrinkToFit="0" vertical="bottom" wrapText="0"/>
    </xf>
    <xf borderId="6" fillId="4" fontId="5" numFmtId="0" xfId="0" applyAlignment="1" applyBorder="1" applyFill="1" applyFont="1">
      <alignment horizontal="right" vertical="bottom"/>
    </xf>
    <xf borderId="4" fillId="0" fontId="4" numFmtId="0" xfId="0" applyAlignment="1" applyBorder="1" applyFont="1">
      <alignment horizontal="center" readingOrder="0" shrinkToFit="0" vertical="bottom" wrapText="0"/>
    </xf>
    <xf borderId="0" fillId="0" fontId="2" numFmtId="0" xfId="0" applyFont="1"/>
    <xf borderId="6" fillId="5" fontId="5" numFmtId="0" xfId="0" applyAlignment="1" applyBorder="1" applyFill="1" applyFont="1">
      <alignment vertical="bottom"/>
    </xf>
    <xf borderId="6" fillId="5" fontId="5" numFmtId="0" xfId="0" applyAlignment="1" applyBorder="1" applyFill="1" applyFont="1">
      <alignment horizontal="right"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4" fillId="0" fontId="7" numFmtId="42" xfId="0" applyBorder="1" applyFont="1" applyNumberFormat="1"/>
    <xf borderId="4" fillId="0" fontId="7" numFmtId="0" xfId="0" applyBorder="1" applyFont="1"/>
    <xf borderId="0" fillId="0" fontId="5" numFmtId="0" xfId="0" applyFont="1"/>
    <xf borderId="0" fillId="2" fontId="3" numFmtId="0" xfId="0" applyAlignment="1" applyFill="1" applyFont="1">
      <alignment readingOrder="0" vertical="bottom"/>
    </xf>
    <xf borderId="0" fillId="0" fontId="5" numFmtId="0" xfId="0" applyAlignment="1" applyFont="1">
      <alignment readingOrder="0"/>
    </xf>
    <xf borderId="0" fillId="6" fontId="4" numFmtId="0" xfId="0" applyAlignment="1" applyFill="1" applyFont="1">
      <alignment horizontal="center" readingOrder="0" shrinkToFit="0" vertical="bottom" wrapText="0"/>
    </xf>
    <xf borderId="4" fillId="6" fontId="4" numFmtId="0" xfId="0" applyAlignment="1" applyBorder="1" applyFill="1" applyFont="1">
      <alignment horizontal="left" readingOrder="0" shrinkToFit="0" vertical="bottom" wrapText="0"/>
    </xf>
    <xf borderId="4" fillId="6" fontId="4" numFmtId="0" xfId="0" applyAlignment="1" applyBorder="1" applyFill="1" applyFont="1">
      <alignment horizontal="center" readingOrder="0" shrinkToFit="0" vertical="bottom" wrapText="0"/>
    </xf>
    <xf borderId="4" fillId="0" fontId="4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center" readingOrder="0" shrinkToFit="0" vertical="bottom" wrapText="0"/>
    </xf>
    <xf borderId="0" fillId="0" fontId="2" numFmtId="42" xfId="0" applyFont="1" applyNumberFormat="1"/>
    <xf borderId="4" fillId="3" fontId="5" numFmtId="0" xfId="0" applyAlignment="1" applyBorder="1" applyFill="1" applyFont="1">
      <alignment horizontal="left" vertical="bottom"/>
    </xf>
    <xf borderId="4" fillId="0" fontId="5" numFmtId="0" xfId="0" applyAlignment="1" applyBorder="1" applyFont="1">
      <alignment horizontal="center" vertical="bottom"/>
    </xf>
    <xf borderId="4" fillId="3" fontId="5" numFmtId="0" xfId="0" applyAlignment="1" applyBorder="1" applyFill="1" applyFont="1">
      <alignment horizontal="center" vertical="bottom"/>
    </xf>
    <xf borderId="4" fillId="6" fontId="5" numFmtId="0" xfId="0" applyAlignment="1" applyBorder="1" applyFill="1" applyFont="1">
      <alignment horizontal="center" readingOrder="0"/>
    </xf>
    <xf borderId="4" fillId="6" fontId="4" numFmtId="0" xfId="0" applyAlignment="1" applyBorder="1" applyFill="1" applyFont="1">
      <alignment horizontal="center" shrinkToFit="0" vertical="bottom" wrapText="0"/>
    </xf>
    <xf borderId="4" fillId="7" fontId="4" numFmtId="0" xfId="0" applyAlignment="1" applyBorder="1" applyFill="1" applyFont="1">
      <alignment horizontal="center" readingOrder="0" shrinkToFit="0" vertical="bottom" wrapText="0"/>
    </xf>
    <xf borderId="4" fillId="6" fontId="4" numFmtId="0" xfId="0" applyAlignment="1" applyBorder="1" applyFill="1" applyFont="1">
      <alignment horizontal="center" readingOrder="0" shrinkToFit="0" vertical="bottom" wrapText="0"/>
    </xf>
    <xf borderId="4" fillId="7" fontId="5" numFmtId="0" xfId="0" applyAlignment="1" applyBorder="1" applyFill="1" applyFont="1">
      <alignment horizontal="left" readingOrder="0" vertical="bottom"/>
    </xf>
    <xf borderId="4" fillId="7" fontId="5" numFmtId="0" xfId="0" applyAlignment="1" applyBorder="1" applyFill="1" applyFont="1">
      <alignment horizontal="left" vertical="bottom"/>
    </xf>
    <xf borderId="4" fillId="7" fontId="5" numFmtId="0" xfId="0" applyAlignment="1" applyBorder="1" applyFill="1" applyFont="1">
      <alignment horizontal="center" readingOrder="0" vertical="bottom"/>
    </xf>
    <xf borderId="4" fillId="7" fontId="5" numFmtId="0" xfId="0" applyAlignment="1" applyBorder="1" applyFill="1" applyFont="1">
      <alignment horizontal="center" vertical="bottom"/>
    </xf>
    <xf borderId="4" fillId="7" fontId="4" numFmtId="0" xfId="0" applyAlignment="1" applyBorder="1" applyFill="1" applyFont="1">
      <alignment horizontal="center" shrinkToFit="0" vertical="bottom" wrapText="0"/>
    </xf>
    <xf borderId="4" fillId="7" fontId="7" numFmtId="42" xfId="0" applyBorder="1" applyFill="1" applyFont="1" applyNumberFormat="1"/>
    <xf borderId="4" fillId="0" fontId="5" numFmtId="0" xfId="0" applyAlignment="1" applyBorder="1" applyFont="1">
      <alignment horizontal="center" readingOrder="0"/>
    </xf>
    <xf borderId="6" fillId="4" fontId="5" numFmtId="0" xfId="0" applyAlignment="1" applyBorder="1" applyFill="1" applyFont="1">
      <alignment vertical="top"/>
    </xf>
    <xf borderId="4" fillId="7" fontId="7" numFmtId="42" xfId="0" applyAlignment="1" applyBorder="1" applyFill="1" applyFont="1" applyNumberFormat="1">
      <alignment readingOrder="0"/>
    </xf>
    <xf borderId="4" fillId="7" fontId="7" numFmtId="0" xfId="0" applyAlignment="1" applyBorder="1" applyFill="1" applyFont="1">
      <alignment readingOrder="0"/>
    </xf>
    <xf borderId="4" fillId="0" fontId="4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horizontal="left" readingOrder="0" vertical="bottom"/>
    </xf>
    <xf borderId="4" fillId="0" fontId="5" numFmtId="0" xfId="0" applyAlignment="1" applyBorder="1" applyFont="1">
      <alignment horizontal="left" vertical="bottom"/>
    </xf>
    <xf borderId="4" fillId="0" fontId="5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readingOrder="0"/>
    </xf>
    <xf borderId="0" fillId="0" fontId="7" numFmtId="0" xfId="0" applyFont="1"/>
    <xf borderId="4" fillId="0" fontId="9" numFmtId="42" xfId="0" applyBorder="1" applyFont="1" applyNumberFormat="1"/>
    <xf borderId="4" fillId="7" fontId="4" numFmtId="0" xfId="0" applyAlignment="1" applyBorder="1" applyFill="1" applyFont="1">
      <alignment horizontal="left" readingOrder="0" shrinkToFit="0" vertical="bottom" wrapText="0"/>
    </xf>
    <xf borderId="4" fillId="7" fontId="4" numFmtId="0" xfId="0" applyAlignment="1" applyBorder="1" applyFill="1" applyFont="1">
      <alignment horizontal="center" shrinkToFit="0" vertical="bottom" wrapText="0"/>
    </xf>
    <xf borderId="0" fillId="7" fontId="7" numFmtId="0" xfId="0" applyFill="1" applyFont="1"/>
    <xf borderId="4" fillId="0" fontId="10" numFmtId="42" xfId="0" applyBorder="1" applyFont="1" applyNumberFormat="1"/>
    <xf borderId="4" fillId="7" fontId="7" numFmtId="0" xfId="0" applyBorder="1" applyFill="1" applyFont="1"/>
    <xf borderId="6" fillId="5" fontId="5" numFmtId="0" xfId="0" applyAlignment="1" applyBorder="1" applyFill="1" applyFont="1">
      <alignment vertical="top"/>
    </xf>
    <xf borderId="4" fillId="0" fontId="4" numFmtId="0" xfId="0" applyAlignment="1" applyBorder="1" applyFont="1">
      <alignment horizontal="center" shrinkToFit="0" vertical="bottom" wrapText="0"/>
    </xf>
    <xf borderId="6" fillId="4" fontId="11" numFmtId="0" xfId="0" applyAlignment="1" applyBorder="1" applyFill="1" applyFont="1">
      <alignment horizontal="center" vertical="bottom"/>
    </xf>
    <xf borderId="6" fillId="5" fontId="11" numFmtId="0" xfId="0" applyAlignment="1" applyBorder="1" applyFill="1" applyFont="1">
      <alignment horizontal="center" vertical="bottom"/>
    </xf>
    <xf borderId="4" fillId="6" fontId="4" numFmtId="0" xfId="0" applyAlignment="1" applyBorder="1" applyFill="1" applyFont="1">
      <alignment horizontal="center" shrinkToFit="0" vertical="bottom" wrapText="0"/>
    </xf>
    <xf borderId="4" fillId="3" fontId="12" numFmtId="0" xfId="0" applyAlignment="1" applyBorder="1" applyFill="1" applyFont="1">
      <alignment horizontal="center" readingOrder="0" shrinkToFit="0" vertical="bottom" wrapText="0"/>
    </xf>
    <xf borderId="4" fillId="3" fontId="12" numFmtId="0" xfId="0" applyAlignment="1" applyBorder="1" applyFill="1" applyFont="1">
      <alignment horizontal="left" readingOrder="0" shrinkToFit="0" vertical="bottom" wrapText="0"/>
    </xf>
    <xf borderId="4" fillId="0" fontId="12" numFmtId="0" xfId="0" applyAlignment="1" applyBorder="1" applyFont="1">
      <alignment horizontal="center" shrinkToFit="0" vertical="bottom" wrapText="0"/>
    </xf>
    <xf borderId="4" fillId="0" fontId="12" numFmtId="0" xfId="0" applyAlignment="1" applyBorder="1" applyFont="1">
      <alignment horizontal="center" readingOrder="0" shrinkToFit="0" vertical="bottom" wrapText="0"/>
    </xf>
    <xf borderId="4" fillId="0" fontId="12" numFmtId="0" xfId="0" applyAlignment="1" applyBorder="1" applyFont="1">
      <alignment horizontal="center" shrinkToFit="0" vertical="bottom" wrapText="0"/>
    </xf>
    <xf borderId="4" fillId="0" fontId="10" numFmtId="0" xfId="0" applyBorder="1" applyFont="1"/>
    <xf borderId="4" fillId="0" fontId="10" numFmtId="0" xfId="0" applyAlignment="1" applyBorder="1" applyFont="1">
      <alignment readingOrder="0"/>
    </xf>
    <xf borderId="5" fillId="4" fontId="11" numFmtId="0" xfId="0" applyAlignment="1" applyBorder="1" applyFill="1" applyFont="1">
      <alignment horizontal="center" vertical="bottom"/>
    </xf>
    <xf borderId="0" fillId="0" fontId="10" numFmtId="0" xfId="0" applyFont="1"/>
    <xf borderId="5" fillId="5" fontId="11" numFmtId="0" xfId="0" applyAlignment="1" applyBorder="1" applyFill="1" applyFont="1">
      <alignment horizontal="center" vertical="bottom"/>
    </xf>
    <xf borderId="4" fillId="3" fontId="7" numFmtId="0" xfId="0" applyAlignment="1" applyBorder="1" applyFill="1" applyFont="1">
      <alignment horizontal="center" readingOrder="0"/>
    </xf>
    <xf borderId="4" fillId="3" fontId="5" numFmtId="0" xfId="0" applyAlignment="1" applyBorder="1" applyFill="1" applyFont="1">
      <alignment horizontal="center" readingOrder="0" vertical="bottom"/>
    </xf>
    <xf borderId="4" fillId="3" fontId="5" numFmtId="0" xfId="0" applyAlignment="1" applyBorder="1" applyFill="1" applyFont="1">
      <alignment horizontal="center" readingOrder="0" vertical="bottom"/>
    </xf>
    <xf borderId="4" fillId="3" fontId="4" numFmtId="0" xfId="0" applyAlignment="1" applyBorder="1" applyFill="1" applyFont="1">
      <alignment horizontal="center" readingOrder="0" shrinkToFit="0" vertical="bottom" wrapText="0"/>
    </xf>
    <xf borderId="4" fillId="3" fontId="7" numFmtId="42" xfId="0" applyAlignment="1" applyBorder="1" applyFill="1" applyFont="1" applyNumberFormat="1">
      <alignment readingOrder="0"/>
    </xf>
    <xf borderId="4" fillId="3" fontId="7" numFmtId="0" xfId="0" applyAlignment="1" applyBorder="1" applyFill="1" applyFont="1">
      <alignment readingOrder="0"/>
    </xf>
    <xf borderId="4" fillId="3" fontId="7" numFmtId="0" xfId="0" applyBorder="1" applyFill="1" applyFont="1"/>
    <xf borderId="4" fillId="0" fontId="4" numFmtId="0" xfId="0" applyAlignment="1" applyBorder="1" applyFont="1">
      <alignment horizontal="center" readingOrder="0" shrinkToFit="0" vertical="bottom" wrapText="0"/>
    </xf>
    <xf borderId="4" fillId="0" fontId="7" numFmtId="42" xfId="0" applyAlignment="1" applyBorder="1" applyFont="1" applyNumberFormat="1">
      <alignment readingOrder="0"/>
    </xf>
    <xf borderId="4" fillId="0" fontId="5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4" fillId="7" fontId="7" numFmtId="0" xfId="0" applyAlignment="1" applyBorder="1" applyFill="1" applyFont="1">
      <alignment horizontal="center" readingOrder="0"/>
    </xf>
    <xf borderId="4" fillId="8" fontId="2" numFmtId="0" xfId="0" applyAlignment="1" applyBorder="1" applyFill="1" applyFont="1">
      <alignment horizontal="center"/>
    </xf>
    <xf borderId="4" fillId="0" fontId="4" numFmtId="0" xfId="0" applyAlignment="1" applyBorder="1" applyFont="1">
      <alignment horizontal="left" readingOrder="0" shrinkToFit="0" vertical="bottom" wrapText="0"/>
    </xf>
    <xf borderId="4" fillId="6" fontId="2" numFmtId="0" xfId="0" applyAlignment="1" applyBorder="1" applyFill="1" applyFont="1">
      <alignment horizontal="center"/>
    </xf>
    <xf borderId="4" fillId="6" fontId="13" numFmtId="0" xfId="0" applyAlignment="1" applyBorder="1" applyFill="1" applyFont="1">
      <alignment horizontal="left" readingOrder="0" shrinkToFit="0" vertical="bottom" wrapText="0"/>
    </xf>
    <xf borderId="4" fillId="0" fontId="4" numFmtId="0" xfId="0" applyAlignment="1" applyBorder="1" applyFont="1">
      <alignment horizontal="left" readingOrder="0" shrinkToFit="0" vertical="bottom" wrapText="0"/>
    </xf>
    <xf borderId="4" fillId="0" fontId="7" numFmtId="0" xfId="0" applyAlignment="1" applyBorder="1" applyFont="1">
      <alignment horizontal="left" readingOrder="0"/>
    </xf>
    <xf borderId="4" fillId="0" fontId="7" numFmtId="0" xfId="0" applyAlignment="1" applyBorder="1" applyFont="1">
      <alignment horizontal="center" readingOrder="0"/>
    </xf>
    <xf borderId="4" fillId="6" fontId="7" numFmtId="0" xfId="0" applyAlignment="1" applyBorder="1" applyFill="1" applyFont="1">
      <alignment vertical="bottom"/>
    </xf>
    <xf borderId="4" fillId="6" fontId="7" numFmtId="0" xfId="0" applyAlignment="1" applyBorder="1" applyFill="1" applyFont="1">
      <alignment horizontal="center" vertical="bottom"/>
    </xf>
    <xf borderId="4" fillId="0" fontId="1" numFmtId="0" xfId="0" applyAlignment="1" applyBorder="1" applyFont="1">
      <alignment vertical="bottom"/>
    </xf>
    <xf borderId="4" fillId="0" fontId="5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4" fontId="5" numFmtId="0" xfId="0" applyAlignment="1" applyBorder="1" applyFill="1" applyFont="1">
      <alignment horizontal="center" vertical="bottom"/>
    </xf>
    <xf borderId="4" fillId="6" fontId="7" numFmtId="42" xfId="0" applyAlignment="1" applyBorder="1" applyFill="1" applyFont="1" applyNumberFormat="1">
      <alignment horizontal="right" vertical="bottom"/>
    </xf>
    <xf borderId="4" fillId="0" fontId="7" numFmtId="42" xfId="0" applyAlignment="1" applyBorder="1" applyFont="1" applyNumberFormat="1">
      <alignment horizontal="right" vertical="bottom"/>
    </xf>
    <xf borderId="4" fillId="6" fontId="7" numFmtId="42" xfId="0" applyAlignment="1" applyBorder="1" applyFill="1" applyFont="1" applyNumberFormat="1">
      <alignment horizontal="right" readingOrder="0" vertical="bottom"/>
    </xf>
    <xf borderId="4" fillId="6" fontId="7" numFmtId="0" xfId="0" applyAlignment="1" applyBorder="1" applyFill="1" applyFont="1">
      <alignment horizontal="left" readingOrder="0"/>
    </xf>
    <xf borderId="4" fillId="6" fontId="7" numFmtId="0" xfId="0" applyAlignment="1" applyBorder="1" applyFill="1" applyFont="1">
      <alignment horizontal="center" readingOrder="0"/>
    </xf>
    <xf borderId="4" fillId="6" fontId="7" numFmtId="42" xfId="0" applyAlignment="1" applyBorder="1" applyFill="1" applyFont="1" applyNumberFormat="1">
      <alignment readingOrder="0"/>
    </xf>
    <xf borderId="4" fillId="6" fontId="14" numFmtId="0" xfId="0" applyAlignment="1" applyBorder="1" applyFill="1" applyFont="1">
      <alignment horizontal="left" vertical="bottom"/>
    </xf>
    <xf borderId="4" fillId="6" fontId="5" numFmtId="0" xfId="0" applyAlignment="1" applyBorder="1" applyFill="1" applyFont="1">
      <alignment horizontal="center" vertical="bottom"/>
    </xf>
    <xf borderId="4" fillId="0" fontId="14" numFmtId="0" xfId="0" applyAlignment="1" applyBorder="1" applyFont="1">
      <alignment horizontal="center" vertical="bottom"/>
    </xf>
    <xf borderId="4" fillId="6" fontId="14" numFmtId="0" xfId="0" applyAlignment="1" applyBorder="1" applyFill="1" applyFont="1">
      <alignment horizontal="center" vertical="bottom"/>
    </xf>
    <xf borderId="4" fillId="0" fontId="15" numFmtId="0" xfId="0" applyAlignment="1" applyBorder="1" applyFont="1">
      <alignment horizontal="center" vertical="bottom"/>
    </xf>
    <xf borderId="0" fillId="9" fontId="14" numFmtId="0" xfId="0" applyAlignment="1" applyFill="1" applyFont="1">
      <alignment horizontal="center" readingOrder="0" vertical="bottom"/>
    </xf>
    <xf borderId="4" fillId="9" fontId="14" numFmtId="0" xfId="0" applyAlignment="1" applyBorder="1" applyFill="1" applyFont="1">
      <alignment horizontal="left" vertical="bottom"/>
    </xf>
    <xf borderId="4" fillId="9" fontId="14" numFmtId="0" xfId="0" applyAlignment="1" applyBorder="1" applyFill="1" applyFont="1">
      <alignment horizontal="center" vertical="bottom"/>
    </xf>
    <xf borderId="7" fillId="4" fontId="11" numFmtId="0" xfId="0" applyAlignment="1" applyBorder="1" applyFill="1" applyFont="1">
      <alignment horizontal="center" vertical="bottom"/>
    </xf>
    <xf borderId="8" fillId="4" fontId="11" numFmtId="0" xfId="0" applyAlignment="1" applyBorder="1" applyFill="1" applyFont="1">
      <alignment horizontal="center" vertical="bottom"/>
    </xf>
    <xf borderId="7" fillId="5" fontId="11" numFmtId="0" xfId="0" applyAlignment="1" applyBorder="1" applyFill="1" applyFont="1">
      <alignment horizontal="center" vertical="bottom"/>
    </xf>
    <xf borderId="8" fillId="5" fontId="11" numFmtId="0" xfId="0" applyAlignment="1" applyBorder="1" applyFill="1" applyFont="1">
      <alignment horizontal="center" vertical="bottom"/>
    </xf>
    <xf borderId="6" fillId="4" fontId="8" numFmtId="0" xfId="0" applyAlignment="1" applyBorder="1" applyFill="1" applyFont="1">
      <alignment horizontal="center" vertical="bottom"/>
    </xf>
    <xf borderId="9" fillId="4" fontId="11" numFmtId="0" xfId="0" applyAlignment="1" applyBorder="1" applyFill="1" applyFont="1">
      <alignment horizontal="center" vertical="bottom"/>
    </xf>
    <xf borderId="10" fillId="4" fontId="11" numFmtId="0" xfId="0" applyAlignment="1" applyBorder="1" applyFill="1" applyFont="1">
      <alignment horizontal="center" vertical="bottom"/>
    </xf>
    <xf borderId="0" fillId="0" fontId="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4" max="4" width="12.63"/>
  </cols>
  <sheetData>
    <row r="1">
      <c r="A1" s="1"/>
      <c r="B1" s="1"/>
      <c r="C1" s="1"/>
      <c r="D1" s="1"/>
      <c r="E1" s="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8"/>
      <c r="B2" s="8"/>
      <c r="C2" s="8"/>
      <c r="D2" s="8"/>
      <c r="E2" s="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3" t="s">
        <v>2</v>
      </c>
      <c r="B3" s="10" t="s">
        <v>13</v>
      </c>
      <c r="C3" s="15" t="s">
        <v>3</v>
      </c>
      <c r="D3" s="16" t="s">
        <v>4</v>
      </c>
      <c r="E3" s="15" t="s">
        <v>5</v>
      </c>
      <c r="F3" s="18" t="s">
        <v>21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9" t="s">
        <v>22</v>
      </c>
      <c r="B4" s="21" t="s">
        <v>23</v>
      </c>
      <c r="C4" s="22"/>
      <c r="D4" s="24"/>
      <c r="E4" s="26"/>
      <c r="F4" s="18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8" t="s">
        <v>28</v>
      </c>
      <c r="B5" s="21" t="s">
        <v>23</v>
      </c>
      <c r="C5" s="29"/>
      <c r="D5" s="24"/>
      <c r="E5" s="30"/>
      <c r="F5" s="18" t="s">
        <v>29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18" t="s">
        <v>30</v>
      </c>
      <c r="B6" s="21" t="s">
        <v>23</v>
      </c>
      <c r="C6" s="22"/>
      <c r="D6" s="24"/>
      <c r="E6" s="26"/>
      <c r="F6" s="18" t="s">
        <v>31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s="18" t="s">
        <v>32</v>
      </c>
      <c r="B7" s="21" t="s">
        <v>23</v>
      </c>
      <c r="C7" s="29"/>
      <c r="D7" s="24"/>
      <c r="E7" s="30"/>
      <c r="F7" s="18" t="s">
        <v>33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s="18" t="s">
        <v>34</v>
      </c>
      <c r="B8" s="21" t="s">
        <v>23</v>
      </c>
      <c r="C8" s="22"/>
      <c r="D8" s="24"/>
      <c r="E8" s="26"/>
      <c r="F8" s="18" t="s">
        <v>35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s="18" t="s">
        <v>36</v>
      </c>
      <c r="B9" s="21" t="s">
        <v>23</v>
      </c>
      <c r="C9" s="29"/>
      <c r="D9" s="24"/>
      <c r="E9" s="30"/>
      <c r="F9" s="18" t="s">
        <v>37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s="18" t="s">
        <v>38</v>
      </c>
      <c r="B10" s="21" t="s">
        <v>23</v>
      </c>
      <c r="C10" s="22"/>
      <c r="D10" s="24"/>
      <c r="E10" s="2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s="18" t="s">
        <v>39</v>
      </c>
      <c r="B11" s="21" t="s">
        <v>23</v>
      </c>
      <c r="C11" s="29"/>
      <c r="D11" s="24"/>
      <c r="E11" s="3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>
      <c r="A12" s="18" t="s">
        <v>40</v>
      </c>
      <c r="B12" s="21" t="s">
        <v>23</v>
      </c>
      <c r="C12" s="22"/>
      <c r="D12" s="24"/>
      <c r="E12" s="2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s="18" t="s">
        <v>41</v>
      </c>
      <c r="B13" s="21" t="s">
        <v>23</v>
      </c>
      <c r="C13" s="29"/>
      <c r="D13" s="24"/>
      <c r="E13" s="3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s="18" t="s">
        <v>44</v>
      </c>
      <c r="B14" s="21" t="s">
        <v>23</v>
      </c>
      <c r="C14" s="22"/>
      <c r="D14" s="24"/>
      <c r="E14" s="2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s="18" t="s">
        <v>46</v>
      </c>
      <c r="B15" s="21" t="s">
        <v>23</v>
      </c>
      <c r="C15" s="29"/>
      <c r="D15" s="24"/>
      <c r="E15" s="3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s="18" t="s">
        <v>47</v>
      </c>
      <c r="B16" s="21" t="s">
        <v>23</v>
      </c>
      <c r="C16" s="22"/>
      <c r="D16" s="24"/>
      <c r="E16" s="2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s="18" t="s">
        <v>48</v>
      </c>
      <c r="B17" s="21" t="s">
        <v>23</v>
      </c>
      <c r="C17" s="29"/>
      <c r="D17" s="24"/>
      <c r="E17" s="3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s="18" t="s">
        <v>52</v>
      </c>
      <c r="B18" s="21" t="s">
        <v>23</v>
      </c>
      <c r="C18" s="22"/>
      <c r="D18" s="24"/>
      <c r="E18" s="2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s="18" t="s">
        <v>54</v>
      </c>
      <c r="B19" s="21" t="s">
        <v>23</v>
      </c>
      <c r="C19" s="29"/>
      <c r="D19" s="24"/>
      <c r="E19" s="3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>
      <c r="A20" s="18" t="s">
        <v>55</v>
      </c>
      <c r="B20" s="21" t="s">
        <v>23</v>
      </c>
      <c r="C20" s="22"/>
      <c r="D20" s="24"/>
      <c r="E20" s="2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>
      <c r="A21" s="18" t="s">
        <v>59</v>
      </c>
      <c r="B21" s="21" t="s">
        <v>23</v>
      </c>
      <c r="C21" s="29"/>
      <c r="D21" s="24"/>
      <c r="E21" s="3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>
      <c r="A22" s="18" t="s">
        <v>60</v>
      </c>
      <c r="B22" s="21" t="s">
        <v>23</v>
      </c>
      <c r="C22" s="22"/>
      <c r="D22" s="24"/>
      <c r="E22" s="2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>
      <c r="A23" s="18" t="s">
        <v>61</v>
      </c>
      <c r="B23" s="21" t="s">
        <v>23</v>
      </c>
      <c r="C23" s="29"/>
      <c r="D23" s="24"/>
      <c r="E23" s="3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s="18" t="s">
        <v>65</v>
      </c>
      <c r="B24" s="21" t="s">
        <v>23</v>
      </c>
      <c r="C24" s="22"/>
      <c r="D24" s="24"/>
      <c r="E24" s="2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s="18" t="s">
        <v>66</v>
      </c>
      <c r="B25" s="21" t="s">
        <v>23</v>
      </c>
      <c r="C25" s="29"/>
      <c r="D25" s="24"/>
      <c r="E25" s="3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s="18" t="s">
        <v>67</v>
      </c>
      <c r="B26" s="21" t="s">
        <v>23</v>
      </c>
      <c r="C26" s="22"/>
      <c r="D26" s="24"/>
      <c r="E26" s="2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s="18" t="s">
        <v>71</v>
      </c>
      <c r="B27" s="21" t="s">
        <v>23</v>
      </c>
      <c r="C27" s="29"/>
      <c r="D27" s="24"/>
      <c r="E27" s="3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s="18" t="s">
        <v>72</v>
      </c>
      <c r="B28" s="21" t="s">
        <v>23</v>
      </c>
      <c r="C28" s="22"/>
      <c r="D28" s="24"/>
      <c r="E28" s="2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s="18" t="s">
        <v>73</v>
      </c>
      <c r="B29" s="21" t="s">
        <v>23</v>
      </c>
      <c r="C29" s="29"/>
      <c r="D29" s="24"/>
      <c r="E29" s="3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>
      <c r="A30" s="18" t="s">
        <v>77</v>
      </c>
      <c r="B30" s="21" t="s">
        <v>23</v>
      </c>
      <c r="C30" s="22"/>
      <c r="D30" s="22"/>
      <c r="E30" s="2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s="18" t="s">
        <v>78</v>
      </c>
      <c r="B31" s="21" t="s">
        <v>23</v>
      </c>
      <c r="C31" s="29"/>
      <c r="D31" s="24"/>
      <c r="E31" s="3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s="18" t="s">
        <v>79</v>
      </c>
      <c r="B32" s="21" t="s">
        <v>23</v>
      </c>
      <c r="C32" s="22"/>
      <c r="D32" s="26"/>
      <c r="E32" s="2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s="18" t="s">
        <v>83</v>
      </c>
      <c r="B33" s="21" t="s">
        <v>23</v>
      </c>
      <c r="C33" s="29"/>
      <c r="D33" s="24"/>
      <c r="E33" s="3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s="18" t="s">
        <v>84</v>
      </c>
      <c r="B34" s="21" t="s">
        <v>23</v>
      </c>
      <c r="C34" s="22"/>
      <c r="D34" s="24"/>
      <c r="E34" s="26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s="18" t="s">
        <v>85</v>
      </c>
      <c r="B35" s="21" t="s">
        <v>23</v>
      </c>
      <c r="C35" s="29"/>
      <c r="D35" s="24"/>
      <c r="E35" s="3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s="18" t="s">
        <v>87</v>
      </c>
      <c r="B36" s="21" t="s">
        <v>23</v>
      </c>
      <c r="C36" s="22"/>
      <c r="D36" s="24"/>
      <c r="E36" s="2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s="18" t="s">
        <v>89</v>
      </c>
      <c r="B37" s="21" t="s">
        <v>23</v>
      </c>
      <c r="C37" s="29"/>
      <c r="D37" s="24"/>
      <c r="E37" s="3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s="18" t="s">
        <v>91</v>
      </c>
      <c r="B38" s="21" t="s">
        <v>23</v>
      </c>
      <c r="C38" s="22"/>
      <c r="D38" s="24"/>
      <c r="E38" s="26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>
      <c r="A39" s="18" t="s">
        <v>92</v>
      </c>
      <c r="B39" s="21" t="s">
        <v>23</v>
      </c>
      <c r="C39" s="29"/>
      <c r="D39" s="24"/>
      <c r="E39" s="3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s="18" t="s">
        <v>93</v>
      </c>
      <c r="B40" s="21" t="s">
        <v>23</v>
      </c>
      <c r="C40" s="22"/>
      <c r="D40" s="24"/>
      <c r="E40" s="26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s="18" t="s">
        <v>95</v>
      </c>
      <c r="B41" s="21" t="s">
        <v>23</v>
      </c>
      <c r="C41" s="29"/>
      <c r="D41" s="22"/>
      <c r="E41" s="3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s="18" t="s">
        <v>97</v>
      </c>
      <c r="B42" s="21" t="s">
        <v>23</v>
      </c>
      <c r="C42" s="22"/>
      <c r="D42" s="24"/>
      <c r="E42" s="2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s="18" t="s">
        <v>98</v>
      </c>
      <c r="B43" s="21" t="s">
        <v>23</v>
      </c>
      <c r="C43" s="29"/>
      <c r="D43" s="24"/>
      <c r="E43" s="3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s="18" t="s">
        <v>99</v>
      </c>
      <c r="B44" s="21" t="s">
        <v>23</v>
      </c>
      <c r="C44" s="58"/>
      <c r="D44" s="24"/>
      <c r="E44" s="2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s="18" t="s">
        <v>104</v>
      </c>
      <c r="B45" s="21" t="s">
        <v>23</v>
      </c>
      <c r="C45" s="58"/>
      <c r="D45" s="24"/>
      <c r="E45" s="3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s="18" t="s">
        <v>105</v>
      </c>
      <c r="B46" s="21" t="s">
        <v>23</v>
      </c>
      <c r="C46" s="58"/>
      <c r="D46" s="24"/>
      <c r="E46" s="26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s="18" t="s">
        <v>108</v>
      </c>
      <c r="B47" s="21" t="s">
        <v>23</v>
      </c>
      <c r="C47" s="29"/>
      <c r="D47" s="24"/>
      <c r="E47" s="3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>
      <c r="A48" s="18" t="s">
        <v>110</v>
      </c>
      <c r="B48" s="21" t="s">
        <v>23</v>
      </c>
      <c r="C48" s="22"/>
      <c r="D48" s="24"/>
      <c r="E48" s="26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s="18" t="s">
        <v>111</v>
      </c>
      <c r="B49" s="21" t="s">
        <v>23</v>
      </c>
      <c r="C49" s="29"/>
      <c r="D49" s="24"/>
      <c r="E49" s="3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s="18" t="s">
        <v>112</v>
      </c>
      <c r="B50" s="21" t="s">
        <v>23</v>
      </c>
      <c r="C50" s="22"/>
      <c r="D50" s="24"/>
      <c r="E50" s="26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s="18" t="s">
        <v>116</v>
      </c>
      <c r="B51" s="21" t="s">
        <v>23</v>
      </c>
      <c r="C51" s="29"/>
      <c r="D51" s="24"/>
      <c r="E51" s="3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s="18" t="s">
        <v>117</v>
      </c>
      <c r="B52" s="21" t="s">
        <v>23</v>
      </c>
      <c r="C52" s="22"/>
      <c r="D52" s="22"/>
      <c r="E52" s="26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s="18" t="s">
        <v>118</v>
      </c>
      <c r="B53" s="21" t="s">
        <v>23</v>
      </c>
      <c r="C53" s="29"/>
      <c r="D53" s="24"/>
      <c r="E53" s="3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s="18" t="s">
        <v>121</v>
      </c>
      <c r="B54" s="21" t="s">
        <v>23</v>
      </c>
      <c r="C54" s="22"/>
      <c r="D54" s="24"/>
      <c r="E54" s="26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s="18" t="s">
        <v>122</v>
      </c>
      <c r="B55" s="21" t="s">
        <v>23</v>
      </c>
      <c r="C55" s="29"/>
      <c r="D55" s="24"/>
      <c r="E55" s="3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s="18" t="s">
        <v>124</v>
      </c>
      <c r="B56" s="21" t="s">
        <v>23</v>
      </c>
      <c r="C56" s="22"/>
      <c r="D56" s="24"/>
      <c r="E56" s="26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>
      <c r="A57" s="18" t="s">
        <v>126</v>
      </c>
      <c r="B57" s="21" t="s">
        <v>23</v>
      </c>
      <c r="C57" s="29"/>
      <c r="D57" s="24"/>
      <c r="E57" s="30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s="18" t="s">
        <v>127</v>
      </c>
      <c r="B58" s="21" t="s">
        <v>23</v>
      </c>
      <c r="C58" s="22"/>
      <c r="D58" s="24"/>
      <c r="E58" s="26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s="18" t="s">
        <v>128</v>
      </c>
      <c r="B59" s="21" t="s">
        <v>23</v>
      </c>
      <c r="C59" s="29"/>
      <c r="D59" s="24"/>
      <c r="E59" s="3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s="18" t="s">
        <v>130</v>
      </c>
      <c r="B60" s="21" t="s">
        <v>23</v>
      </c>
      <c r="C60" s="22"/>
      <c r="D60" s="24"/>
      <c r="E60" s="26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s="18" t="s">
        <v>134</v>
      </c>
      <c r="B61" s="21" t="s">
        <v>23</v>
      </c>
      <c r="C61" s="29"/>
      <c r="D61" s="24"/>
      <c r="E61" s="30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s="18" t="s">
        <v>135</v>
      </c>
      <c r="B62" s="21" t="s">
        <v>23</v>
      </c>
      <c r="C62" s="22"/>
      <c r="D62" s="24"/>
      <c r="E62" s="2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s="18" t="s">
        <v>136</v>
      </c>
      <c r="B63" s="21" t="s">
        <v>23</v>
      </c>
      <c r="C63" s="29"/>
      <c r="D63" s="24"/>
      <c r="E63" s="3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s="18" t="s">
        <v>75</v>
      </c>
      <c r="B64" s="21" t="s">
        <v>23</v>
      </c>
      <c r="C64" s="22"/>
      <c r="D64" s="24"/>
      <c r="E64" s="26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s="18" t="s">
        <v>43</v>
      </c>
      <c r="B65" s="21" t="s">
        <v>23</v>
      </c>
      <c r="C65" s="29"/>
      <c r="D65" s="24"/>
      <c r="E65" s="30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>
      <c r="A66" s="18" t="s">
        <v>140</v>
      </c>
      <c r="B66" s="21" t="s">
        <v>23</v>
      </c>
      <c r="C66" s="22"/>
      <c r="D66" s="24"/>
      <c r="E66" s="26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s="18" t="s">
        <v>107</v>
      </c>
      <c r="B67" s="21" t="s">
        <v>23</v>
      </c>
      <c r="C67" s="29"/>
      <c r="D67" s="24"/>
      <c r="E67" s="30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s="18" t="s">
        <v>141</v>
      </c>
      <c r="B68" s="21" t="s">
        <v>23</v>
      </c>
      <c r="C68" s="22"/>
      <c r="D68" s="24"/>
      <c r="E68" s="26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s="18" t="s">
        <v>145</v>
      </c>
      <c r="B69" s="21" t="s">
        <v>23</v>
      </c>
      <c r="C69" s="29"/>
      <c r="D69" s="24"/>
      <c r="E69" s="30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s="18" t="s">
        <v>146</v>
      </c>
      <c r="B70" s="21" t="s">
        <v>23</v>
      </c>
      <c r="C70" s="22"/>
      <c r="D70" s="24"/>
      <c r="E70" s="26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s="18" t="s">
        <v>147</v>
      </c>
      <c r="B71" s="21" t="s">
        <v>23</v>
      </c>
      <c r="C71" s="29"/>
      <c r="D71" s="24"/>
      <c r="E71" s="30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s="18" t="s">
        <v>149</v>
      </c>
      <c r="B72" s="21" t="s">
        <v>23</v>
      </c>
      <c r="C72" s="22"/>
      <c r="D72" s="24"/>
      <c r="E72" s="26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s="18" t="s">
        <v>155</v>
      </c>
      <c r="B73" s="21" t="s">
        <v>23</v>
      </c>
      <c r="C73" s="29"/>
      <c r="D73" s="24"/>
      <c r="E73" s="30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s="18" t="s">
        <v>157</v>
      </c>
      <c r="B74" s="21" t="s">
        <v>23</v>
      </c>
      <c r="C74" s="22"/>
      <c r="D74" s="24"/>
      <c r="E74" s="26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>
      <c r="A75" s="18" t="s">
        <v>158</v>
      </c>
      <c r="B75" s="21" t="s">
        <v>23</v>
      </c>
      <c r="C75" s="29"/>
      <c r="D75" s="24"/>
      <c r="E75" s="3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s="18" t="s">
        <v>159</v>
      </c>
      <c r="B76" s="21" t="s">
        <v>23</v>
      </c>
      <c r="C76" s="22"/>
      <c r="D76" s="24"/>
      <c r="E76" s="26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s="18" t="s">
        <v>161</v>
      </c>
      <c r="B77" s="21" t="s">
        <v>23</v>
      </c>
      <c r="C77" s="29"/>
      <c r="D77" s="24"/>
      <c r="E77" s="30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8" t="s">
        <v>166</v>
      </c>
      <c r="B78" s="21" t="s">
        <v>23</v>
      </c>
      <c r="C78" s="22"/>
      <c r="D78" s="24"/>
      <c r="E78" s="26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8" t="s">
        <v>167</v>
      </c>
      <c r="B79" s="21" t="s">
        <v>23</v>
      </c>
      <c r="C79" s="29"/>
      <c r="D79" s="24"/>
      <c r="E79" s="3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s="18" t="s">
        <v>168</v>
      </c>
      <c r="B80" s="21" t="s">
        <v>23</v>
      </c>
      <c r="C80" s="22"/>
      <c r="D80" s="24"/>
      <c r="E80" s="26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8" t="s">
        <v>171</v>
      </c>
      <c r="B81" s="21" t="s">
        <v>23</v>
      </c>
      <c r="C81" s="29"/>
      <c r="D81" s="24"/>
      <c r="E81" s="3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8" t="s">
        <v>173</v>
      </c>
      <c r="B82" s="21" t="s">
        <v>23</v>
      </c>
      <c r="C82" s="22"/>
      <c r="D82" s="24"/>
      <c r="E82" s="2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8" t="s">
        <v>175</v>
      </c>
      <c r="B83" s="21" t="s">
        <v>23</v>
      </c>
      <c r="C83" s="29"/>
      <c r="D83" s="24"/>
      <c r="E83" s="3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8" t="s">
        <v>176</v>
      </c>
      <c r="B84" s="21" t="s">
        <v>23</v>
      </c>
      <c r="C84" s="22"/>
      <c r="D84" s="24"/>
      <c r="E84" s="2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8" t="s">
        <v>179</v>
      </c>
      <c r="B85" s="21" t="s">
        <v>23</v>
      </c>
      <c r="C85" s="29"/>
      <c r="D85" s="24"/>
      <c r="E85" s="3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8" t="s">
        <v>183</v>
      </c>
      <c r="B86" s="21" t="s">
        <v>23</v>
      </c>
      <c r="C86" s="22"/>
      <c r="D86" s="24"/>
      <c r="E86" s="2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s="18" t="s">
        <v>184</v>
      </c>
      <c r="B87" s="21" t="s">
        <v>23</v>
      </c>
      <c r="C87" s="29"/>
      <c r="D87" s="24"/>
      <c r="E87" s="30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s="18" t="s">
        <v>185</v>
      </c>
      <c r="B88" s="21" t="s">
        <v>23</v>
      </c>
      <c r="C88" s="22"/>
      <c r="D88" s="24"/>
      <c r="E88" s="26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s="18" t="s">
        <v>190</v>
      </c>
      <c r="B89" s="21" t="s">
        <v>23</v>
      </c>
      <c r="C89" s="29"/>
      <c r="D89" s="24"/>
      <c r="E89" s="30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s="18" t="s">
        <v>191</v>
      </c>
      <c r="B90" s="21" t="s">
        <v>23</v>
      </c>
      <c r="C90" s="22"/>
      <c r="D90" s="24"/>
      <c r="E90" s="26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s="18" t="s">
        <v>193</v>
      </c>
      <c r="B91" s="21" t="s">
        <v>23</v>
      </c>
      <c r="C91" s="29"/>
      <c r="D91" s="24"/>
      <c r="E91" s="30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s="18" t="s">
        <v>195</v>
      </c>
      <c r="B92" s="21" t="s">
        <v>23</v>
      </c>
      <c r="C92" s="22"/>
      <c r="D92" s="24"/>
      <c r="E92" s="26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>
      <c r="A93" s="18" t="s">
        <v>199</v>
      </c>
      <c r="B93" s="21" t="s">
        <v>23</v>
      </c>
      <c r="C93" s="29"/>
      <c r="D93" s="24"/>
      <c r="E93" s="30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s="18" t="s">
        <v>201</v>
      </c>
      <c r="B94" s="21" t="s">
        <v>202</v>
      </c>
      <c r="C94" s="22"/>
      <c r="D94" s="24"/>
      <c r="E94" s="26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s="18" t="s">
        <v>203</v>
      </c>
      <c r="B95" s="29"/>
      <c r="C95" s="29"/>
      <c r="D95" s="24"/>
      <c r="E95" s="30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s="18" t="s">
        <v>206</v>
      </c>
      <c r="B96" s="22"/>
      <c r="C96" s="22"/>
      <c r="D96" s="24"/>
      <c r="E96" s="26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s="18" t="s">
        <v>208</v>
      </c>
      <c r="B97" s="29"/>
      <c r="C97" s="29"/>
      <c r="D97" s="24"/>
      <c r="E97" s="3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s="18" t="s">
        <v>210</v>
      </c>
      <c r="B98" s="22"/>
      <c r="C98" s="22"/>
      <c r="D98" s="24"/>
      <c r="E98" s="26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s="18" t="s">
        <v>211</v>
      </c>
      <c r="B99" s="29"/>
      <c r="C99" s="29"/>
      <c r="D99" s="24"/>
      <c r="E99" s="3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s="18" t="s">
        <v>216</v>
      </c>
      <c r="B100" s="22"/>
      <c r="C100" s="22"/>
      <c r="D100" s="24"/>
      <c r="E100" s="26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18" t="s">
        <v>217</v>
      </c>
      <c r="B101" s="73"/>
      <c r="C101" s="73"/>
      <c r="D101" s="24"/>
      <c r="E101" s="3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18" t="s">
        <v>221</v>
      </c>
      <c r="B102" s="75"/>
      <c r="C102" s="75"/>
      <c r="D102" s="24"/>
      <c r="E102" s="7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s="18" t="s">
        <v>222</v>
      </c>
      <c r="B103" s="76"/>
      <c r="C103" s="76"/>
      <c r="D103" s="24"/>
      <c r="E103" s="76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s="18" t="s">
        <v>223</v>
      </c>
      <c r="B104" s="75"/>
      <c r="C104" s="75"/>
      <c r="D104" s="24"/>
      <c r="E104" s="7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s="18" t="s">
        <v>227</v>
      </c>
      <c r="B105" s="76"/>
      <c r="C105" s="76"/>
      <c r="D105" s="22"/>
      <c r="E105" s="76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s="18" t="s">
        <v>228</v>
      </c>
      <c r="B106" s="75"/>
      <c r="C106" s="75"/>
      <c r="D106" s="24"/>
      <c r="E106" s="7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18" t="s">
        <v>231</v>
      </c>
      <c r="B107" s="76"/>
      <c r="C107" s="76"/>
      <c r="D107" s="24"/>
      <c r="E107" s="76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18" t="s">
        <v>234</v>
      </c>
      <c r="B108" s="75"/>
      <c r="C108" s="75"/>
      <c r="D108" s="24"/>
      <c r="E108" s="7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18" t="s">
        <v>235</v>
      </c>
      <c r="B109" s="76"/>
      <c r="C109" s="76"/>
      <c r="D109" s="24"/>
      <c r="E109" s="7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18" t="s">
        <v>239</v>
      </c>
      <c r="B110" s="75"/>
      <c r="C110" s="75"/>
      <c r="D110" s="24"/>
      <c r="E110" s="7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ht="20.25" customHeight="1">
      <c r="A111" s="18" t="s">
        <v>240</v>
      </c>
      <c r="B111" s="76"/>
      <c r="C111" s="76"/>
      <c r="D111" s="24"/>
      <c r="E111" s="7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18" t="s">
        <v>241</v>
      </c>
      <c r="B112" s="75"/>
      <c r="C112" s="75"/>
      <c r="D112" s="24"/>
      <c r="E112" s="7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18" t="s">
        <v>245</v>
      </c>
      <c r="B113" s="76"/>
      <c r="C113" s="76"/>
      <c r="D113" s="24"/>
      <c r="E113" s="76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18" t="s">
        <v>246</v>
      </c>
      <c r="B114" s="75"/>
      <c r="C114" s="75"/>
      <c r="D114" s="24"/>
      <c r="E114" s="7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18" t="s">
        <v>250</v>
      </c>
      <c r="B115" s="76"/>
      <c r="C115" s="76"/>
      <c r="D115" s="24"/>
      <c r="E115" s="76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18" t="s">
        <v>251</v>
      </c>
      <c r="B116" s="75"/>
      <c r="C116" s="75"/>
      <c r="D116" s="24"/>
      <c r="E116" s="7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8" t="s">
        <v>252</v>
      </c>
      <c r="B117" s="76"/>
      <c r="C117" s="76"/>
      <c r="D117" s="24"/>
      <c r="E117" s="76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8" t="s">
        <v>255</v>
      </c>
      <c r="B118" s="75"/>
      <c r="C118" s="75"/>
      <c r="D118" s="24"/>
      <c r="E118" s="7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s="18" t="s">
        <v>256</v>
      </c>
      <c r="B119" s="76"/>
      <c r="C119" s="76"/>
      <c r="D119" s="24"/>
      <c r="E119" s="7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>
      <c r="A120" s="18" t="s">
        <v>259</v>
      </c>
      <c r="B120" s="75"/>
      <c r="C120" s="75"/>
      <c r="D120" s="24"/>
      <c r="E120" s="7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s="18" t="s">
        <v>262</v>
      </c>
      <c r="B121" s="76"/>
      <c r="C121" s="76"/>
      <c r="D121" s="24"/>
      <c r="E121" s="7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s="18" t="s">
        <v>263</v>
      </c>
      <c r="B122" s="75"/>
      <c r="C122" s="75"/>
      <c r="D122" s="24"/>
      <c r="E122" s="7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s="18" t="s">
        <v>267</v>
      </c>
      <c r="B123" s="76"/>
      <c r="C123" s="76"/>
      <c r="D123" s="24"/>
      <c r="E123" s="76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s="18" t="s">
        <v>268</v>
      </c>
      <c r="B124" s="75"/>
      <c r="C124" s="75"/>
      <c r="D124" s="24"/>
      <c r="E124" s="7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s="18" t="s">
        <v>269</v>
      </c>
      <c r="B125" s="76"/>
      <c r="C125" s="76"/>
      <c r="D125" s="24"/>
      <c r="E125" s="76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s="18" t="s">
        <v>273</v>
      </c>
      <c r="B126" s="75"/>
      <c r="C126" s="75"/>
      <c r="D126" s="24"/>
      <c r="E126" s="7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s="18" t="s">
        <v>274</v>
      </c>
      <c r="B127" s="76"/>
      <c r="C127" s="76"/>
      <c r="D127" s="24"/>
      <c r="E127" s="76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s="18" t="s">
        <v>273</v>
      </c>
      <c r="B128" s="75"/>
      <c r="C128" s="75"/>
      <c r="D128" s="24"/>
      <c r="E128" s="7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>
      <c r="A129" s="18" t="s">
        <v>117</v>
      </c>
      <c r="B129" s="76"/>
      <c r="C129" s="76"/>
      <c r="D129" s="24"/>
      <c r="E129" s="7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s="18" t="s">
        <v>278</v>
      </c>
      <c r="B130" s="75"/>
      <c r="C130" s="75"/>
      <c r="D130" s="24"/>
      <c r="E130" s="7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s="18" t="s">
        <v>30</v>
      </c>
      <c r="B131" s="76"/>
      <c r="C131" s="76"/>
      <c r="D131" s="24"/>
      <c r="E131" s="7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s="18" t="s">
        <v>282</v>
      </c>
      <c r="B132" s="75"/>
      <c r="C132" s="75"/>
      <c r="D132" s="24"/>
      <c r="E132" s="7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s="18" t="s">
        <v>283</v>
      </c>
      <c r="B133" s="76"/>
      <c r="C133" s="76"/>
      <c r="D133" s="24"/>
      <c r="E133" s="7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18" t="s">
        <v>287</v>
      </c>
      <c r="B134" s="75"/>
      <c r="C134" s="75"/>
      <c r="D134" s="24"/>
      <c r="E134" s="7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18" t="s">
        <v>289</v>
      </c>
      <c r="B135" s="76"/>
      <c r="C135" s="76"/>
      <c r="D135" s="24"/>
      <c r="E135" s="76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s="18" t="s">
        <v>290</v>
      </c>
      <c r="B136" s="75"/>
      <c r="C136" s="75"/>
      <c r="D136" s="24"/>
      <c r="E136" s="7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s="18" t="s">
        <v>294</v>
      </c>
      <c r="B137" s="76"/>
      <c r="C137" s="76"/>
      <c r="D137" s="24"/>
      <c r="E137" s="7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8" t="s">
        <v>295</v>
      </c>
      <c r="B138" s="75"/>
      <c r="C138" s="75"/>
      <c r="D138" s="24"/>
      <c r="E138" s="7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8" t="s">
        <v>296</v>
      </c>
      <c r="B139" s="76"/>
      <c r="C139" s="76"/>
      <c r="D139" s="24"/>
      <c r="E139" s="7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18" t="s">
        <v>282</v>
      </c>
      <c r="B140" s="75"/>
      <c r="C140" s="75"/>
      <c r="D140" s="24"/>
      <c r="E140" s="7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18" t="s">
        <v>34</v>
      </c>
      <c r="B141" s="76"/>
      <c r="C141" s="76"/>
      <c r="D141" s="24"/>
      <c r="E141" s="7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18" t="s">
        <v>303</v>
      </c>
      <c r="B142" s="75"/>
      <c r="C142" s="75"/>
      <c r="D142" s="24"/>
      <c r="E142" s="7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8" t="s">
        <v>305</v>
      </c>
      <c r="B143" s="76"/>
      <c r="C143" s="76"/>
      <c r="D143" s="24"/>
      <c r="E143" s="7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8" t="s">
        <v>306</v>
      </c>
      <c r="B144" s="75"/>
      <c r="C144" s="75"/>
      <c r="D144" s="24"/>
      <c r="E144" s="7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8" t="s">
        <v>89</v>
      </c>
      <c r="B145" s="76"/>
      <c r="C145" s="76"/>
      <c r="D145" s="24"/>
      <c r="E145" s="7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8" t="s">
        <v>309</v>
      </c>
      <c r="B146" s="75"/>
      <c r="C146" s="75"/>
      <c r="D146" s="24"/>
      <c r="E146" s="7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8" t="s">
        <v>310</v>
      </c>
      <c r="B147" s="76"/>
      <c r="C147" s="76"/>
      <c r="D147" s="24"/>
      <c r="E147" s="76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8" t="s">
        <v>311</v>
      </c>
      <c r="B148" s="75"/>
      <c r="C148" s="75"/>
      <c r="D148" s="24"/>
      <c r="E148" s="7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8" t="s">
        <v>315</v>
      </c>
      <c r="B149" s="76"/>
      <c r="C149" s="76"/>
      <c r="D149" s="24"/>
      <c r="E149" s="76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8" t="s">
        <v>111</v>
      </c>
      <c r="B150" s="75"/>
      <c r="C150" s="75"/>
      <c r="D150" s="24"/>
      <c r="E150" s="7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8" t="s">
        <v>316</v>
      </c>
      <c r="B151" s="76"/>
      <c r="C151" s="76"/>
      <c r="D151" s="24"/>
      <c r="E151" s="76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85"/>
      <c r="B152" s="75"/>
      <c r="C152" s="75"/>
      <c r="D152" s="24"/>
      <c r="E152" s="7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87"/>
      <c r="B153" s="76"/>
      <c r="C153" s="76"/>
      <c r="D153" s="24"/>
      <c r="E153" s="76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85"/>
      <c r="B154" s="75"/>
      <c r="C154" s="75"/>
      <c r="D154" s="24"/>
      <c r="E154" s="7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87"/>
      <c r="B155" s="76"/>
      <c r="C155" s="76"/>
      <c r="D155" s="24"/>
      <c r="E155" s="76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85"/>
      <c r="B156" s="75"/>
      <c r="C156" s="75"/>
      <c r="D156" s="24"/>
      <c r="E156" s="7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87"/>
      <c r="B157" s="76"/>
      <c r="C157" s="76"/>
      <c r="D157" s="24"/>
      <c r="E157" s="76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85"/>
      <c r="B158" s="75"/>
      <c r="C158" s="75"/>
      <c r="D158" s="24"/>
      <c r="E158" s="7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87"/>
      <c r="B159" s="76"/>
      <c r="C159" s="76"/>
      <c r="D159" s="24"/>
      <c r="E159" s="76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85"/>
      <c r="B160" s="75"/>
      <c r="C160" s="75"/>
      <c r="D160" s="24"/>
      <c r="E160" s="7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87"/>
      <c r="B161" s="76"/>
      <c r="C161" s="76"/>
      <c r="D161" s="24"/>
      <c r="E161" s="76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85"/>
      <c r="B162" s="75"/>
      <c r="C162" s="75"/>
      <c r="D162" s="24"/>
      <c r="E162" s="7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87"/>
      <c r="B163" s="76"/>
      <c r="C163" s="76"/>
      <c r="D163" s="24"/>
      <c r="E163" s="76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85"/>
      <c r="B164" s="75"/>
      <c r="C164" s="75"/>
      <c r="D164" s="24"/>
      <c r="E164" s="7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87"/>
      <c r="B165" s="76"/>
      <c r="C165" s="76"/>
      <c r="D165" s="24"/>
      <c r="E165" s="76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85"/>
      <c r="B166" s="75"/>
      <c r="C166" s="75"/>
      <c r="D166" s="24"/>
      <c r="E166" s="7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s="87"/>
      <c r="B167" s="76"/>
      <c r="C167" s="76"/>
      <c r="D167" s="24"/>
      <c r="E167" s="76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s="85"/>
      <c r="B168" s="75"/>
      <c r="C168" s="75"/>
      <c r="D168" s="24"/>
      <c r="E168" s="7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s="87"/>
      <c r="B169" s="76"/>
      <c r="C169" s="76"/>
      <c r="D169" s="24"/>
      <c r="E169" s="76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s="85"/>
      <c r="B170" s="75"/>
      <c r="C170" s="75"/>
      <c r="D170" s="24"/>
      <c r="E170" s="7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s="87"/>
      <c r="B171" s="76"/>
      <c r="C171" s="76"/>
      <c r="D171" s="24"/>
      <c r="E171" s="76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s="85"/>
      <c r="B172" s="75"/>
      <c r="C172" s="75"/>
      <c r="D172" s="24"/>
      <c r="E172" s="7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s="87"/>
      <c r="B173" s="76"/>
      <c r="C173" s="76"/>
      <c r="D173" s="24"/>
      <c r="E173" s="76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>
      <c r="A174" s="85"/>
      <c r="B174" s="75"/>
      <c r="C174" s="75"/>
      <c r="D174" s="24"/>
      <c r="E174" s="7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s="87"/>
      <c r="B175" s="76"/>
      <c r="C175" s="76"/>
      <c r="D175" s="24"/>
      <c r="E175" s="76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s="85"/>
      <c r="B176" s="75"/>
      <c r="C176" s="75"/>
      <c r="D176" s="24"/>
      <c r="E176" s="7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s="87"/>
      <c r="B177" s="76"/>
      <c r="C177" s="76"/>
      <c r="D177" s="24"/>
      <c r="E177" s="76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s="85"/>
      <c r="B178" s="75"/>
      <c r="C178" s="75"/>
      <c r="D178" s="24"/>
      <c r="E178" s="7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s="87"/>
      <c r="B179" s="76"/>
      <c r="C179" s="76"/>
      <c r="D179" s="24"/>
      <c r="E179" s="76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s="85"/>
      <c r="B180" s="75"/>
      <c r="C180" s="75"/>
      <c r="D180" s="24"/>
      <c r="E180" s="7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s="87"/>
      <c r="B181" s="76"/>
      <c r="C181" s="76"/>
      <c r="D181" s="24"/>
      <c r="E181" s="76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s="85"/>
      <c r="B182" s="75"/>
      <c r="C182" s="75"/>
      <c r="D182" s="24"/>
      <c r="E182" s="7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>
      <c r="A183" s="87"/>
      <c r="B183" s="76"/>
      <c r="C183" s="76"/>
      <c r="D183" s="24"/>
      <c r="E183" s="76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s="85"/>
      <c r="B184" s="75"/>
      <c r="C184" s="75"/>
      <c r="D184" s="24"/>
      <c r="E184" s="7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s="87"/>
      <c r="B185" s="76"/>
      <c r="C185" s="76"/>
      <c r="D185" s="24"/>
      <c r="E185" s="76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s="85"/>
      <c r="B186" s="75"/>
      <c r="C186" s="75"/>
      <c r="D186" s="24"/>
      <c r="E186" s="7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s="87"/>
      <c r="B187" s="76"/>
      <c r="C187" s="76"/>
      <c r="D187" s="24"/>
      <c r="E187" s="76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s="85"/>
      <c r="B188" s="75"/>
      <c r="C188" s="75"/>
      <c r="D188" s="24"/>
      <c r="E188" s="7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s="87"/>
      <c r="B189" s="76"/>
      <c r="C189" s="76"/>
      <c r="D189" s="24"/>
      <c r="E189" s="76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s="85"/>
      <c r="B190" s="75"/>
      <c r="C190" s="75"/>
      <c r="D190" s="24"/>
      <c r="E190" s="7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s="87"/>
      <c r="B191" s="76"/>
      <c r="C191" s="76"/>
      <c r="D191" s="24"/>
      <c r="E191" s="76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>
      <c r="A192" s="85"/>
      <c r="B192" s="75"/>
      <c r="C192" s="75"/>
      <c r="D192" s="24"/>
      <c r="E192" s="7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s="87"/>
      <c r="B193" s="76"/>
      <c r="C193" s="76"/>
      <c r="D193" s="24"/>
      <c r="E193" s="76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s="85"/>
      <c r="B194" s="75"/>
      <c r="C194" s="75"/>
      <c r="D194" s="24"/>
      <c r="E194" s="7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>
      <c r="A195" s="87"/>
      <c r="B195" s="76"/>
      <c r="C195" s="76"/>
      <c r="D195" s="24"/>
      <c r="E195" s="76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>
      <c r="A196" s="85"/>
      <c r="B196" s="75"/>
      <c r="C196" s="75"/>
      <c r="D196" s="24"/>
      <c r="E196" s="7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>
      <c r="A197" s="87"/>
      <c r="B197" s="76"/>
      <c r="C197" s="76"/>
      <c r="D197" s="24"/>
      <c r="E197" s="76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s="85"/>
      <c r="B198" s="75"/>
      <c r="C198" s="75"/>
      <c r="D198" s="24"/>
      <c r="E198" s="7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s="87"/>
      <c r="B199" s="76"/>
      <c r="C199" s="76"/>
      <c r="D199" s="24"/>
      <c r="E199" s="76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s="85"/>
      <c r="B200" s="75"/>
      <c r="C200" s="75"/>
      <c r="D200" s="24"/>
      <c r="E200" s="7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>
      <c r="A201" s="87"/>
      <c r="B201" s="76"/>
      <c r="C201" s="76"/>
      <c r="D201" s="24"/>
      <c r="E201" s="76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s="85"/>
      <c r="B202" s="75"/>
      <c r="C202" s="75"/>
      <c r="D202" s="24"/>
      <c r="E202" s="7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s="87"/>
      <c r="B203" s="76"/>
      <c r="C203" s="76"/>
      <c r="D203" s="24"/>
      <c r="E203" s="76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s="85"/>
      <c r="B204" s="75"/>
      <c r="C204" s="75"/>
      <c r="D204" s="24"/>
      <c r="E204" s="7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>
      <c r="A205" s="87"/>
      <c r="B205" s="76"/>
      <c r="C205" s="76"/>
      <c r="D205" s="24"/>
      <c r="E205" s="76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>
      <c r="A206" s="85"/>
      <c r="B206" s="75"/>
      <c r="C206" s="75"/>
      <c r="D206" s="24"/>
      <c r="E206" s="7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>
      <c r="A207" s="87"/>
      <c r="B207" s="76"/>
      <c r="C207" s="76"/>
      <c r="D207" s="24"/>
      <c r="E207" s="76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>
      <c r="A208" s="85"/>
      <c r="B208" s="75"/>
      <c r="C208" s="75"/>
      <c r="D208" s="24"/>
      <c r="E208" s="7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>
      <c r="A209" s="87"/>
      <c r="B209" s="76"/>
      <c r="C209" s="76"/>
      <c r="D209" s="24"/>
      <c r="E209" s="76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>
      <c r="A210" s="85"/>
      <c r="B210" s="75"/>
      <c r="C210" s="75"/>
      <c r="D210" s="24"/>
      <c r="E210" s="7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>
      <c r="A211" s="87"/>
      <c r="B211" s="76"/>
      <c r="C211" s="76"/>
      <c r="D211" s="24"/>
      <c r="E211" s="76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>
      <c r="A212" s="85"/>
      <c r="B212" s="75"/>
      <c r="C212" s="75"/>
      <c r="D212" s="24"/>
      <c r="E212" s="7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>
      <c r="A213" s="87"/>
      <c r="B213" s="76"/>
      <c r="C213" s="76"/>
      <c r="D213" s="24"/>
      <c r="E213" s="76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>
      <c r="A214" s="85"/>
      <c r="B214" s="75"/>
      <c r="C214" s="75"/>
      <c r="D214" s="24"/>
      <c r="E214" s="7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>
      <c r="A215" s="87"/>
      <c r="B215" s="76"/>
      <c r="C215" s="76"/>
      <c r="D215" s="24"/>
      <c r="E215" s="76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>
      <c r="A216" s="85"/>
      <c r="B216" s="75"/>
      <c r="C216" s="75"/>
      <c r="D216" s="24"/>
      <c r="E216" s="7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>
      <c r="A217" s="87"/>
      <c r="B217" s="76"/>
      <c r="C217" s="76"/>
      <c r="D217" s="24"/>
      <c r="E217" s="76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>
      <c r="A218" s="85"/>
      <c r="B218" s="75"/>
      <c r="C218" s="75"/>
      <c r="D218" s="24"/>
      <c r="E218" s="7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>
      <c r="A219" s="87"/>
      <c r="B219" s="76"/>
      <c r="C219" s="76"/>
      <c r="D219" s="24"/>
      <c r="E219" s="76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>
      <c r="A220" s="85"/>
      <c r="B220" s="75"/>
      <c r="C220" s="75"/>
      <c r="D220" s="24"/>
      <c r="E220" s="7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>
      <c r="A221" s="87"/>
      <c r="B221" s="76"/>
      <c r="C221" s="76"/>
      <c r="D221" s="24"/>
      <c r="E221" s="76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>
      <c r="A222" s="85"/>
      <c r="B222" s="75"/>
      <c r="C222" s="75"/>
      <c r="D222" s="24"/>
      <c r="E222" s="7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>
      <c r="A223" s="87"/>
      <c r="B223" s="76"/>
      <c r="C223" s="76"/>
      <c r="D223" s="24"/>
      <c r="E223" s="76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>
      <c r="A224" s="85"/>
      <c r="B224" s="75"/>
      <c r="C224" s="75"/>
      <c r="D224" s="24"/>
      <c r="E224" s="7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>
      <c r="A225" s="87"/>
      <c r="B225" s="76"/>
      <c r="C225" s="76"/>
      <c r="D225" s="24"/>
      <c r="E225" s="76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>
      <c r="A226" s="85"/>
      <c r="B226" s="75"/>
      <c r="C226" s="75"/>
      <c r="D226" s="24"/>
      <c r="E226" s="7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>
      <c r="A227" s="87"/>
      <c r="B227" s="76"/>
      <c r="C227" s="76"/>
      <c r="D227" s="24"/>
      <c r="E227" s="76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>
      <c r="A228" s="85"/>
      <c r="B228" s="75"/>
      <c r="C228" s="75"/>
      <c r="D228" s="24"/>
      <c r="E228" s="7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>
      <c r="A229" s="87"/>
      <c r="B229" s="76"/>
      <c r="C229" s="76"/>
      <c r="D229" s="24"/>
      <c r="E229" s="76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>
      <c r="A230" s="85"/>
      <c r="B230" s="75"/>
      <c r="C230" s="75"/>
      <c r="D230" s="24"/>
      <c r="E230" s="7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>
      <c r="A231" s="87"/>
      <c r="B231" s="76"/>
      <c r="C231" s="76"/>
      <c r="D231" s="24"/>
      <c r="E231" s="76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>
      <c r="A232" s="85"/>
      <c r="B232" s="75"/>
      <c r="C232" s="75"/>
      <c r="D232" s="24"/>
      <c r="E232" s="7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>
      <c r="A233" s="87"/>
      <c r="B233" s="76"/>
      <c r="C233" s="76"/>
      <c r="D233" s="24"/>
      <c r="E233" s="76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>
      <c r="A234" s="85"/>
      <c r="B234" s="75"/>
      <c r="C234" s="75"/>
      <c r="D234" s="24"/>
      <c r="E234" s="7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>
      <c r="A235" s="87"/>
      <c r="B235" s="76"/>
      <c r="C235" s="76"/>
      <c r="D235" s="24"/>
      <c r="E235" s="76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>
      <c r="A236" s="85"/>
      <c r="B236" s="75"/>
      <c r="C236" s="75"/>
      <c r="D236" s="24"/>
      <c r="E236" s="7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>
      <c r="A237" s="87"/>
      <c r="B237" s="76"/>
      <c r="C237" s="76"/>
      <c r="D237" s="24"/>
      <c r="E237" s="76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>
      <c r="A238" s="85"/>
      <c r="B238" s="75"/>
      <c r="C238" s="75"/>
      <c r="D238" s="24"/>
      <c r="E238" s="7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>
      <c r="A239" s="87"/>
      <c r="B239" s="76"/>
      <c r="C239" s="76"/>
      <c r="D239" s="24"/>
      <c r="E239" s="76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>
      <c r="A240" s="85"/>
      <c r="B240" s="75"/>
      <c r="C240" s="75"/>
      <c r="D240" s="24"/>
      <c r="E240" s="7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>
      <c r="A241" s="87"/>
      <c r="B241" s="76"/>
      <c r="C241" s="76"/>
      <c r="D241" s="24"/>
      <c r="E241" s="76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>
      <c r="A242" s="85"/>
      <c r="B242" s="75"/>
      <c r="C242" s="75"/>
      <c r="D242" s="24"/>
      <c r="E242" s="7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>
      <c r="A243" s="87"/>
      <c r="B243" s="76"/>
      <c r="C243" s="76"/>
      <c r="D243" s="24"/>
      <c r="E243" s="76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>
      <c r="A244" s="85"/>
      <c r="B244" s="75"/>
      <c r="C244" s="75"/>
      <c r="D244" s="24"/>
      <c r="E244" s="7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>
      <c r="A245" s="87"/>
      <c r="B245" s="76"/>
      <c r="C245" s="76"/>
      <c r="D245" s="24"/>
      <c r="E245" s="76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>
      <c r="A246" s="85"/>
      <c r="B246" s="75"/>
      <c r="C246" s="75"/>
      <c r="D246" s="24"/>
      <c r="E246" s="7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>
      <c r="A247" s="87"/>
      <c r="B247" s="76"/>
      <c r="C247" s="76"/>
      <c r="D247" s="24"/>
      <c r="E247" s="76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>
      <c r="A248" s="85"/>
      <c r="B248" s="75"/>
      <c r="C248" s="75"/>
      <c r="D248" s="24"/>
      <c r="E248" s="7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>
      <c r="A249" s="87"/>
      <c r="B249" s="76"/>
      <c r="C249" s="76"/>
      <c r="D249" s="24"/>
      <c r="E249" s="76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>
      <c r="A250" s="85"/>
      <c r="B250" s="75"/>
      <c r="C250" s="75"/>
      <c r="D250" s="24"/>
      <c r="E250" s="7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>
      <c r="A251" s="87"/>
      <c r="B251" s="76"/>
      <c r="C251" s="76"/>
      <c r="D251" s="24"/>
      <c r="E251" s="76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>
      <c r="A252" s="85"/>
      <c r="B252" s="75"/>
      <c r="C252" s="75"/>
      <c r="D252" s="24"/>
      <c r="E252" s="7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>
      <c r="A253" s="87"/>
      <c r="B253" s="76"/>
      <c r="C253" s="76"/>
      <c r="D253" s="24"/>
      <c r="E253" s="76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>
      <c r="A254" s="85"/>
      <c r="B254" s="75"/>
      <c r="C254" s="75"/>
      <c r="D254" s="24"/>
      <c r="E254" s="7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>
      <c r="A255" s="87"/>
      <c r="B255" s="76"/>
      <c r="C255" s="76"/>
      <c r="D255" s="24"/>
      <c r="E255" s="76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>
      <c r="A256" s="85"/>
      <c r="B256" s="75"/>
      <c r="C256" s="75"/>
      <c r="D256" s="24"/>
      <c r="E256" s="7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>
      <c r="A257" s="87"/>
      <c r="B257" s="76"/>
      <c r="C257" s="76"/>
      <c r="D257" s="24"/>
      <c r="E257" s="76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>
      <c r="A258" s="85"/>
      <c r="B258" s="75"/>
      <c r="C258" s="75"/>
      <c r="D258" s="24"/>
      <c r="E258" s="7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>
      <c r="A259" s="87"/>
      <c r="B259" s="76"/>
      <c r="C259" s="76"/>
      <c r="D259" s="24"/>
      <c r="E259" s="76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>
      <c r="A260" s="85"/>
      <c r="B260" s="75"/>
      <c r="C260" s="75"/>
      <c r="D260" s="24"/>
      <c r="E260" s="7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>
      <c r="A261" s="87"/>
      <c r="B261" s="76"/>
      <c r="C261" s="76"/>
      <c r="D261" s="24"/>
      <c r="E261" s="76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>
      <c r="A262" s="85"/>
      <c r="B262" s="75"/>
      <c r="C262" s="75"/>
      <c r="D262" s="24"/>
      <c r="E262" s="7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>
      <c r="A263" s="87"/>
      <c r="B263" s="76"/>
      <c r="C263" s="76"/>
      <c r="D263" s="24"/>
      <c r="E263" s="76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>
      <c r="A264" s="85"/>
      <c r="B264" s="75"/>
      <c r="C264" s="75"/>
      <c r="D264" s="24"/>
      <c r="E264" s="7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>
      <c r="A265" s="87"/>
      <c r="B265" s="76"/>
      <c r="C265" s="76"/>
      <c r="D265" s="24"/>
      <c r="E265" s="76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>
      <c r="A266" s="85"/>
      <c r="B266" s="75"/>
      <c r="C266" s="75"/>
      <c r="D266" s="24"/>
      <c r="E266" s="7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>
      <c r="A267" s="87"/>
      <c r="B267" s="76"/>
      <c r="C267" s="76"/>
      <c r="D267" s="24"/>
      <c r="E267" s="76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>
      <c r="A268" s="85"/>
      <c r="B268" s="75"/>
      <c r="C268" s="75"/>
      <c r="D268" s="24"/>
      <c r="E268" s="7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>
      <c r="A269" s="87"/>
      <c r="B269" s="76"/>
      <c r="C269" s="76"/>
      <c r="D269" s="24"/>
      <c r="E269" s="76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>
      <c r="A270" s="85"/>
      <c r="B270" s="75"/>
      <c r="C270" s="75"/>
      <c r="D270" s="24"/>
      <c r="E270" s="7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>
      <c r="A271" s="87"/>
      <c r="B271" s="76"/>
      <c r="C271" s="76"/>
      <c r="D271" s="24"/>
      <c r="E271" s="76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>
      <c r="A272" s="85"/>
      <c r="B272" s="75"/>
      <c r="C272" s="75"/>
      <c r="D272" s="24"/>
      <c r="E272" s="7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>
      <c r="A273" s="87"/>
      <c r="B273" s="76"/>
      <c r="C273" s="76"/>
      <c r="D273" s="24"/>
      <c r="E273" s="76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>
      <c r="A274" s="85"/>
      <c r="B274" s="75"/>
      <c r="C274" s="75"/>
      <c r="D274" s="24"/>
      <c r="E274" s="7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>
      <c r="A275" s="87"/>
      <c r="B275" s="76"/>
      <c r="C275" s="76"/>
      <c r="D275" s="24"/>
      <c r="E275" s="76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>
      <c r="A276" s="85"/>
      <c r="B276" s="75"/>
      <c r="C276" s="75"/>
      <c r="D276" s="24"/>
      <c r="E276" s="7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>
      <c r="A277" s="87"/>
      <c r="B277" s="76"/>
      <c r="C277" s="76"/>
      <c r="D277" s="24"/>
      <c r="E277" s="76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>
      <c r="A278" s="85"/>
      <c r="B278" s="75"/>
      <c r="C278" s="75"/>
      <c r="D278" s="24"/>
      <c r="E278" s="7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>
      <c r="A279" s="87"/>
      <c r="B279" s="76"/>
      <c r="C279" s="76"/>
      <c r="D279" s="24"/>
      <c r="E279" s="76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>
      <c r="A280" s="85"/>
      <c r="B280" s="75"/>
      <c r="C280" s="75"/>
      <c r="D280" s="24"/>
      <c r="E280" s="7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>
      <c r="A281" s="87"/>
      <c r="B281" s="76"/>
      <c r="C281" s="76"/>
      <c r="D281" s="24"/>
      <c r="E281" s="76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>
      <c r="A282" s="85"/>
      <c r="B282" s="75"/>
      <c r="C282" s="75"/>
      <c r="D282" s="24"/>
      <c r="E282" s="7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>
      <c r="A283" s="87"/>
      <c r="B283" s="76"/>
      <c r="C283" s="76"/>
      <c r="D283" s="24"/>
      <c r="E283" s="76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>
      <c r="A284" s="85"/>
      <c r="B284" s="75"/>
      <c r="C284" s="75"/>
      <c r="D284" s="24"/>
      <c r="E284" s="7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>
      <c r="A285" s="87"/>
      <c r="B285" s="76"/>
      <c r="C285" s="76"/>
      <c r="D285" s="24"/>
      <c r="E285" s="76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>
      <c r="A286" s="85"/>
      <c r="B286" s="75"/>
      <c r="C286" s="75"/>
      <c r="D286" s="24"/>
      <c r="E286" s="7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>
      <c r="A287" s="87"/>
      <c r="B287" s="76"/>
      <c r="C287" s="76"/>
      <c r="D287" s="24"/>
      <c r="E287" s="76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>
      <c r="A288" s="85"/>
      <c r="B288" s="75"/>
      <c r="C288" s="75"/>
      <c r="D288" s="24"/>
      <c r="E288" s="7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>
      <c r="A289" s="87"/>
      <c r="B289" s="76"/>
      <c r="C289" s="76"/>
      <c r="D289" s="24"/>
      <c r="E289" s="76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>
      <c r="A290" s="85"/>
      <c r="B290" s="75"/>
      <c r="C290" s="75"/>
      <c r="D290" s="24"/>
      <c r="E290" s="7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>
      <c r="A291" s="87"/>
      <c r="B291" s="76"/>
      <c r="C291" s="76"/>
      <c r="D291" s="24"/>
      <c r="E291" s="76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>
      <c r="A292" s="85"/>
      <c r="B292" s="75"/>
      <c r="C292" s="75"/>
      <c r="D292" s="24"/>
      <c r="E292" s="7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>
      <c r="A293" s="87"/>
      <c r="B293" s="76"/>
      <c r="C293" s="76"/>
      <c r="D293" s="24"/>
      <c r="E293" s="76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85"/>
      <c r="B294" s="75"/>
      <c r="C294" s="75"/>
      <c r="D294" s="24"/>
      <c r="E294" s="75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>
      <c r="A295" s="87"/>
      <c r="B295" s="76"/>
      <c r="C295" s="76"/>
      <c r="D295" s="24"/>
      <c r="E295" s="76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s="85"/>
      <c r="B296" s="75"/>
      <c r="C296" s="75"/>
      <c r="D296" s="24"/>
      <c r="E296" s="7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>
      <c r="A297" s="87"/>
      <c r="B297" s="76"/>
      <c r="C297" s="76"/>
      <c r="D297" s="24"/>
      <c r="E297" s="76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>
      <c r="A298" s="85"/>
      <c r="B298" s="75"/>
      <c r="C298" s="75"/>
      <c r="D298" s="24"/>
      <c r="E298" s="7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>
      <c r="A299" s="87"/>
      <c r="B299" s="76"/>
      <c r="C299" s="76"/>
      <c r="D299" s="24"/>
      <c r="E299" s="76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>
      <c r="A300" s="85"/>
      <c r="B300" s="75"/>
      <c r="C300" s="75"/>
      <c r="D300" s="24"/>
      <c r="E300" s="7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>
      <c r="A301" s="87"/>
      <c r="B301" s="76"/>
      <c r="C301" s="76"/>
      <c r="D301" s="24"/>
      <c r="E301" s="76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>
      <c r="A302" s="85"/>
      <c r="B302" s="75"/>
      <c r="C302" s="75"/>
      <c r="D302" s="24"/>
      <c r="E302" s="7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>
      <c r="A303" s="87"/>
      <c r="B303" s="76"/>
      <c r="C303" s="76"/>
      <c r="D303" s="24"/>
      <c r="E303" s="76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>
      <c r="A304" s="85"/>
      <c r="B304" s="75"/>
      <c r="C304" s="75"/>
      <c r="D304" s="24"/>
      <c r="E304" s="7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>
      <c r="A305" s="87"/>
      <c r="B305" s="76"/>
      <c r="C305" s="76"/>
      <c r="D305" s="24"/>
      <c r="E305" s="76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>
      <c r="A306" s="85"/>
      <c r="B306" s="75"/>
      <c r="C306" s="75"/>
      <c r="D306" s="24"/>
      <c r="E306" s="75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>
      <c r="A307" s="87"/>
      <c r="B307" s="76"/>
      <c r="C307" s="76"/>
      <c r="D307" s="24"/>
      <c r="E307" s="76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>
      <c r="A308" s="85"/>
      <c r="B308" s="75"/>
      <c r="C308" s="75"/>
      <c r="D308" s="24"/>
      <c r="E308" s="75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>
      <c r="A309" s="87"/>
      <c r="B309" s="76"/>
      <c r="C309" s="76"/>
      <c r="D309" s="24"/>
      <c r="E309" s="76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>
      <c r="A310" s="85"/>
      <c r="B310" s="75"/>
      <c r="C310" s="75"/>
      <c r="D310" s="24"/>
      <c r="E310" s="75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>
      <c r="A311" s="87"/>
      <c r="B311" s="76"/>
      <c r="C311" s="76"/>
      <c r="D311" s="24"/>
      <c r="E311" s="76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>
      <c r="A312" s="85"/>
      <c r="B312" s="75"/>
      <c r="C312" s="75"/>
      <c r="D312" s="24"/>
      <c r="E312" s="7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>
      <c r="A313" s="87"/>
      <c r="B313" s="76"/>
      <c r="C313" s="76"/>
      <c r="D313" s="24"/>
      <c r="E313" s="76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>
      <c r="A314" s="85"/>
      <c r="B314" s="75"/>
      <c r="C314" s="75"/>
      <c r="D314" s="24"/>
      <c r="E314" s="7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>
      <c r="A315" s="87"/>
      <c r="B315" s="76"/>
      <c r="C315" s="76"/>
      <c r="D315" s="24"/>
      <c r="E315" s="76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>
      <c r="A316" s="85"/>
      <c r="B316" s="75"/>
      <c r="C316" s="75"/>
      <c r="D316" s="24"/>
      <c r="E316" s="7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>
      <c r="A317" s="87"/>
      <c r="B317" s="76"/>
      <c r="C317" s="76"/>
      <c r="D317" s="24"/>
      <c r="E317" s="76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>
      <c r="A318" s="85"/>
      <c r="B318" s="75"/>
      <c r="C318" s="75"/>
      <c r="D318" s="24"/>
      <c r="E318" s="7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>
      <c r="A319" s="87"/>
      <c r="B319" s="76"/>
      <c r="C319" s="76"/>
      <c r="D319" s="24"/>
      <c r="E319" s="76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>
      <c r="A320" s="127"/>
      <c r="B320" s="128"/>
      <c r="C320" s="128"/>
      <c r="D320" s="24"/>
      <c r="E320" s="12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129"/>
      <c r="B321" s="130"/>
      <c r="C321" s="130"/>
      <c r="D321" s="131"/>
      <c r="E321" s="130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>
      <c r="A322" s="132"/>
      <c r="B322" s="133"/>
      <c r="C322" s="133"/>
      <c r="D322" s="131"/>
      <c r="E322" s="13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10" max="10" width="17.25"/>
    <col customWidth="1" min="11" max="11" width="18.88"/>
  </cols>
  <sheetData>
    <row r="1">
      <c r="B1" s="2"/>
    </row>
    <row r="2">
      <c r="A2" s="4"/>
      <c r="B2" s="6"/>
      <c r="C2" s="4"/>
      <c r="D2" s="4"/>
      <c r="E2" s="4"/>
      <c r="F2" s="4"/>
      <c r="G2" s="4"/>
      <c r="H2" s="28">
        <f>H3-(H3*40%)</f>
        <v>253915.2</v>
      </c>
      <c r="J2" s="28">
        <f t="shared" ref="J2:J3" si="1">H2/65</f>
        <v>3906.387692</v>
      </c>
    </row>
    <row r="3">
      <c r="A3" s="31"/>
      <c r="B3" s="32"/>
      <c r="C3" s="31"/>
      <c r="D3" s="31"/>
      <c r="E3" s="31"/>
      <c r="F3" s="31">
        <f>sum(F5:F151)</f>
        <v>78</v>
      </c>
      <c r="G3" s="31">
        <f>sum(G5:G104)</f>
        <v>423192</v>
      </c>
      <c r="H3" s="31">
        <f>sum(H5:H151)</f>
        <v>423192</v>
      </c>
      <c r="I3" s="35"/>
      <c r="J3" s="11">
        <f t="shared" si="1"/>
        <v>6510.646154</v>
      </c>
    </row>
    <row r="4">
      <c r="A4" s="3" t="s">
        <v>0</v>
      </c>
      <c r="B4" s="9" t="s">
        <v>2</v>
      </c>
      <c r="C4" s="10" t="s">
        <v>8</v>
      </c>
      <c r="D4" s="10" t="s">
        <v>3</v>
      </c>
      <c r="E4" s="10" t="s">
        <v>4</v>
      </c>
      <c r="F4" s="10" t="s">
        <v>5</v>
      </c>
      <c r="G4" s="36" t="s">
        <v>6</v>
      </c>
      <c r="H4" s="12" t="s">
        <v>7</v>
      </c>
      <c r="I4" s="37"/>
      <c r="J4" s="11" t="s">
        <v>10</v>
      </c>
      <c r="K4" s="11" t="s">
        <v>15</v>
      </c>
    </row>
    <row r="5">
      <c r="A5" s="38">
        <v>1.0</v>
      </c>
      <c r="B5" s="39" t="s">
        <v>25</v>
      </c>
      <c r="C5" s="40" t="s">
        <v>23</v>
      </c>
      <c r="D5" s="27"/>
      <c r="E5" s="41"/>
      <c r="F5" s="27">
        <v>1.0</v>
      </c>
      <c r="G5" s="42">
        <v>3824.0</v>
      </c>
      <c r="H5" s="41">
        <f t="shared" ref="H5:H61" si="2">F5*G5</f>
        <v>3824</v>
      </c>
      <c r="I5" s="4"/>
      <c r="J5" s="43">
        <f t="shared" ref="J5:J7" si="3">G5/65</f>
        <v>58.83076923</v>
      </c>
      <c r="K5" s="43">
        <f t="shared" ref="K5:K7" si="4">(J5*2.5)</f>
        <v>147.0769231</v>
      </c>
      <c r="L5" s="43">
        <f t="shared" ref="L5:L7" si="5">(K5*0.75)</f>
        <v>110.3076923</v>
      </c>
    </row>
    <row r="6">
      <c r="A6" s="38">
        <v>2.0</v>
      </c>
      <c r="B6" s="39" t="s">
        <v>43</v>
      </c>
      <c r="C6" s="40" t="s">
        <v>23</v>
      </c>
      <c r="D6" s="27"/>
      <c r="E6" s="41"/>
      <c r="F6" s="27">
        <v>1.0</v>
      </c>
      <c r="G6" s="42">
        <v>4800.0</v>
      </c>
      <c r="H6" s="41">
        <f t="shared" si="2"/>
        <v>4800</v>
      </c>
      <c r="I6" s="4"/>
      <c r="J6" s="43">
        <f t="shared" si="3"/>
        <v>73.84615385</v>
      </c>
      <c r="K6" s="43">
        <f t="shared" si="4"/>
        <v>184.6153846</v>
      </c>
      <c r="L6" s="43">
        <f t="shared" si="5"/>
        <v>138.4615385</v>
      </c>
    </row>
    <row r="7">
      <c r="A7" s="38">
        <v>3.0</v>
      </c>
      <c r="B7" s="39" t="s">
        <v>50</v>
      </c>
      <c r="C7" s="40" t="s">
        <v>23</v>
      </c>
      <c r="D7" s="27"/>
      <c r="E7" s="41"/>
      <c r="F7" s="27">
        <v>1.0</v>
      </c>
      <c r="G7" s="42">
        <v>6080.0</v>
      </c>
      <c r="H7" s="41">
        <f t="shared" si="2"/>
        <v>6080</v>
      </c>
      <c r="I7" s="4"/>
      <c r="J7" s="43">
        <f t="shared" si="3"/>
        <v>93.53846154</v>
      </c>
      <c r="K7" s="43">
        <f t="shared" si="4"/>
        <v>233.8461538</v>
      </c>
      <c r="L7" s="43">
        <f t="shared" si="5"/>
        <v>175.3846154</v>
      </c>
    </row>
    <row r="8" hidden="1">
      <c r="A8" s="38"/>
      <c r="B8" s="40" t="s">
        <v>90</v>
      </c>
      <c r="C8" s="40" t="s">
        <v>23</v>
      </c>
      <c r="D8" s="47"/>
      <c r="E8" s="48"/>
      <c r="F8" s="50">
        <v>0.0</v>
      </c>
      <c r="G8" s="40">
        <v>5280.0</v>
      </c>
      <c r="H8" s="48">
        <f t="shared" si="2"/>
        <v>0</v>
      </c>
      <c r="I8" s="4"/>
      <c r="J8" s="28">
        <f>G8*0.015</f>
        <v>79.2</v>
      </c>
    </row>
    <row r="9">
      <c r="A9" s="38">
        <v>4.0</v>
      </c>
      <c r="B9" s="39" t="s">
        <v>57</v>
      </c>
      <c r="C9" s="40" t="s">
        <v>23</v>
      </c>
      <c r="D9" s="57"/>
      <c r="E9" s="41"/>
      <c r="F9" s="27">
        <v>1.0</v>
      </c>
      <c r="G9" s="42">
        <v>5520.0</v>
      </c>
      <c r="H9" s="41">
        <f t="shared" si="2"/>
        <v>5520</v>
      </c>
      <c r="I9" s="4"/>
      <c r="J9" s="43">
        <f>G9/65</f>
        <v>84.92307692</v>
      </c>
      <c r="K9" s="43">
        <f>(J9*2.5)</f>
        <v>212.3076923</v>
      </c>
      <c r="L9" s="43">
        <f>(K9*0.75)</f>
        <v>159.2307692</v>
      </c>
    </row>
    <row r="10" hidden="1">
      <c r="A10" s="38"/>
      <c r="B10" s="40" t="s">
        <v>84</v>
      </c>
      <c r="C10" s="40" t="s">
        <v>23</v>
      </c>
      <c r="D10" s="50"/>
      <c r="E10" s="48"/>
      <c r="F10" s="50">
        <v>0.0</v>
      </c>
      <c r="G10" s="40">
        <v>4960.0</v>
      </c>
      <c r="H10" s="48">
        <f t="shared" si="2"/>
        <v>0</v>
      </c>
      <c r="I10" s="4"/>
      <c r="J10" s="28">
        <f>G10*0.015</f>
        <v>74.4</v>
      </c>
    </row>
    <row r="11">
      <c r="A11" s="38">
        <v>5.0</v>
      </c>
      <c r="B11" s="39" t="s">
        <v>63</v>
      </c>
      <c r="C11" s="40" t="s">
        <v>23</v>
      </c>
      <c r="D11" s="57"/>
      <c r="E11" s="41"/>
      <c r="F11" s="27">
        <v>1.0</v>
      </c>
      <c r="G11" s="42">
        <v>4400.0</v>
      </c>
      <c r="H11" s="41">
        <f t="shared" si="2"/>
        <v>4400</v>
      </c>
      <c r="I11" s="4"/>
      <c r="J11" s="43">
        <f t="shared" ref="J11:J12" si="6">G11/65</f>
        <v>67.69230769</v>
      </c>
      <c r="K11" s="43">
        <f t="shared" ref="K11:K12" si="7">(J11*2.5)</f>
        <v>169.2307692</v>
      </c>
      <c r="L11" s="43">
        <f t="shared" ref="L11:L12" si="8">(K11*0.75)</f>
        <v>126.9230769</v>
      </c>
    </row>
    <row r="12">
      <c r="A12" s="38">
        <v>6.0</v>
      </c>
      <c r="B12" s="39" t="s">
        <v>69</v>
      </c>
      <c r="C12" s="40" t="s">
        <v>23</v>
      </c>
      <c r="D12" s="57"/>
      <c r="E12" s="41"/>
      <c r="F12" s="27">
        <v>1.0</v>
      </c>
      <c r="G12" s="42">
        <v>4080.0</v>
      </c>
      <c r="H12" s="41">
        <f t="shared" si="2"/>
        <v>4080</v>
      </c>
      <c r="I12" s="4"/>
      <c r="J12" s="43">
        <f t="shared" si="6"/>
        <v>62.76923077</v>
      </c>
      <c r="K12" s="43">
        <f t="shared" si="7"/>
        <v>156.9230769</v>
      </c>
      <c r="L12" s="43">
        <f t="shared" si="8"/>
        <v>117.6923077</v>
      </c>
    </row>
    <row r="13" hidden="1">
      <c r="A13" s="38"/>
      <c r="B13" s="40" t="s">
        <v>129</v>
      </c>
      <c r="C13" s="40" t="s">
        <v>23</v>
      </c>
      <c r="D13" s="50"/>
      <c r="E13" s="48"/>
      <c r="F13" s="50">
        <v>0.0</v>
      </c>
      <c r="G13" s="40">
        <v>4960.0</v>
      </c>
      <c r="H13" s="48">
        <f t="shared" si="2"/>
        <v>0</v>
      </c>
      <c r="I13" s="4"/>
      <c r="J13" s="28">
        <f>G13*0.015</f>
        <v>74.4</v>
      </c>
    </row>
    <row r="14">
      <c r="A14" s="38">
        <v>7.0</v>
      </c>
      <c r="B14" s="39" t="s">
        <v>75</v>
      </c>
      <c r="C14" s="40" t="s">
        <v>23</v>
      </c>
      <c r="D14" s="27"/>
      <c r="E14" s="41"/>
      <c r="F14" s="27">
        <v>1.0</v>
      </c>
      <c r="G14" s="42">
        <v>4800.0</v>
      </c>
      <c r="H14" s="41">
        <f t="shared" si="2"/>
        <v>4800</v>
      </c>
      <c r="I14" s="4"/>
      <c r="J14" s="43">
        <f t="shared" ref="J14:J15" si="9">G14/65</f>
        <v>73.84615385</v>
      </c>
      <c r="K14" s="43">
        <f t="shared" ref="K14:K15" si="10">(J14*2.5)</f>
        <v>184.6153846</v>
      </c>
      <c r="L14" s="43">
        <f t="shared" ref="L14:L15" si="11">(K14*0.75)</f>
        <v>138.4615385</v>
      </c>
    </row>
    <row r="15">
      <c r="A15" s="38">
        <v>8.0</v>
      </c>
      <c r="B15" s="39" t="s">
        <v>81</v>
      </c>
      <c r="C15" s="40" t="s">
        <v>23</v>
      </c>
      <c r="D15" s="27"/>
      <c r="E15" s="41"/>
      <c r="F15" s="27">
        <v>1.0</v>
      </c>
      <c r="G15" s="42">
        <v>4960.0</v>
      </c>
      <c r="H15" s="41">
        <f t="shared" si="2"/>
        <v>4960</v>
      </c>
      <c r="I15" s="4"/>
      <c r="J15" s="43">
        <f t="shared" si="9"/>
        <v>76.30769231</v>
      </c>
      <c r="K15" s="43">
        <f t="shared" si="10"/>
        <v>190.7692308</v>
      </c>
      <c r="L15" s="43">
        <f t="shared" si="11"/>
        <v>143.0769231</v>
      </c>
    </row>
    <row r="16" hidden="1">
      <c r="A16" s="38"/>
      <c r="B16" s="40" t="s">
        <v>151</v>
      </c>
      <c r="C16" s="40" t="s">
        <v>152</v>
      </c>
      <c r="D16" s="50"/>
      <c r="E16" s="40" t="s">
        <v>153</v>
      </c>
      <c r="F16" s="50">
        <v>0.0</v>
      </c>
      <c r="G16" s="40">
        <v>5440.0</v>
      </c>
      <c r="H16" s="48">
        <f t="shared" si="2"/>
        <v>0</v>
      </c>
      <c r="I16" s="4"/>
      <c r="J16" s="28">
        <f>G16*0.015</f>
        <v>81.6</v>
      </c>
    </row>
    <row r="17">
      <c r="A17" s="38">
        <v>9.0</v>
      </c>
      <c r="B17" s="39" t="s">
        <v>151</v>
      </c>
      <c r="C17" s="40" t="s">
        <v>152</v>
      </c>
      <c r="D17" s="27"/>
      <c r="E17" s="42" t="s">
        <v>162</v>
      </c>
      <c r="F17" s="27">
        <v>1.0</v>
      </c>
      <c r="G17" s="42">
        <v>5440.0</v>
      </c>
      <c r="H17" s="41">
        <f t="shared" si="2"/>
        <v>5440</v>
      </c>
      <c r="I17" s="4"/>
      <c r="J17" s="43">
        <f>G17/65</f>
        <v>83.69230769</v>
      </c>
      <c r="K17" s="43">
        <f>(J17*2.5)</f>
        <v>209.2307692</v>
      </c>
      <c r="L17" s="43">
        <f>(K17*0.75)</f>
        <v>156.9230769</v>
      </c>
    </row>
    <row r="18" hidden="1">
      <c r="A18" s="38"/>
      <c r="B18" s="40" t="s">
        <v>174</v>
      </c>
      <c r="C18" s="40" t="s">
        <v>152</v>
      </c>
      <c r="D18" s="50"/>
      <c r="E18" s="40" t="s">
        <v>162</v>
      </c>
      <c r="F18" s="50">
        <v>0.0</v>
      </c>
      <c r="G18" s="40">
        <v>5328.0</v>
      </c>
      <c r="H18" s="48">
        <f t="shared" si="2"/>
        <v>0</v>
      </c>
      <c r="I18" s="4"/>
      <c r="J18" s="28">
        <f>G18*0.015</f>
        <v>79.92</v>
      </c>
    </row>
    <row r="19">
      <c r="A19" s="38">
        <v>10.0</v>
      </c>
      <c r="B19" s="39" t="s">
        <v>181</v>
      </c>
      <c r="C19" s="40" t="s">
        <v>152</v>
      </c>
      <c r="D19" s="27" t="s">
        <v>182</v>
      </c>
      <c r="E19" s="42" t="s">
        <v>162</v>
      </c>
      <c r="F19" s="27">
        <v>1.0</v>
      </c>
      <c r="G19" s="42">
        <v>4160.0</v>
      </c>
      <c r="H19" s="41">
        <f t="shared" si="2"/>
        <v>4160</v>
      </c>
      <c r="I19" s="4"/>
      <c r="J19" s="43">
        <f>G19/65</f>
        <v>64</v>
      </c>
      <c r="K19" s="43">
        <f>(J19*2.5)</f>
        <v>160</v>
      </c>
      <c r="L19" s="43">
        <f>(K19*0.75)</f>
        <v>120</v>
      </c>
    </row>
    <row r="20" hidden="1">
      <c r="A20" s="38"/>
      <c r="B20" s="40" t="s">
        <v>194</v>
      </c>
      <c r="C20" s="40" t="s">
        <v>152</v>
      </c>
      <c r="D20" s="50"/>
      <c r="E20" s="40" t="s">
        <v>153</v>
      </c>
      <c r="F20" s="50">
        <v>0.0</v>
      </c>
      <c r="G20" s="40">
        <v>4160.0</v>
      </c>
      <c r="H20" s="48">
        <f t="shared" si="2"/>
        <v>0</v>
      </c>
      <c r="I20" s="4"/>
      <c r="J20" s="28">
        <f t="shared" ref="J20:J24" si="12">G20*0.015</f>
        <v>62.4</v>
      </c>
    </row>
    <row r="21" hidden="1">
      <c r="A21" s="38"/>
      <c r="B21" s="40" t="s">
        <v>200</v>
      </c>
      <c r="C21" s="40" t="s">
        <v>152</v>
      </c>
      <c r="D21" s="50"/>
      <c r="E21" s="40" t="s">
        <v>153</v>
      </c>
      <c r="F21" s="50">
        <v>0.0</v>
      </c>
      <c r="G21" s="40">
        <v>2240.0</v>
      </c>
      <c r="H21" s="48">
        <f t="shared" si="2"/>
        <v>0</v>
      </c>
      <c r="I21" s="4"/>
      <c r="J21" s="28">
        <f t="shared" si="12"/>
        <v>33.6</v>
      </c>
    </row>
    <row r="22" hidden="1">
      <c r="A22" s="38"/>
      <c r="B22" s="40" t="s">
        <v>200</v>
      </c>
      <c r="C22" s="40" t="s">
        <v>152</v>
      </c>
      <c r="D22" s="50"/>
      <c r="E22" s="40" t="s">
        <v>162</v>
      </c>
      <c r="F22" s="50">
        <v>0.0</v>
      </c>
      <c r="G22" s="40">
        <v>2240.0</v>
      </c>
      <c r="H22" s="48">
        <f t="shared" si="2"/>
        <v>0</v>
      </c>
      <c r="I22" s="4"/>
      <c r="J22" s="28">
        <f t="shared" si="12"/>
        <v>33.6</v>
      </c>
    </row>
    <row r="23" hidden="1">
      <c r="A23" s="38"/>
      <c r="B23" s="40" t="s">
        <v>209</v>
      </c>
      <c r="C23" s="40" t="s">
        <v>152</v>
      </c>
      <c r="D23" s="50"/>
      <c r="E23" s="40" t="s">
        <v>162</v>
      </c>
      <c r="F23" s="50">
        <v>0.0</v>
      </c>
      <c r="G23" s="40">
        <v>3680.0</v>
      </c>
      <c r="H23" s="48">
        <f t="shared" si="2"/>
        <v>0</v>
      </c>
      <c r="I23" s="4"/>
      <c r="J23" s="28">
        <f t="shared" si="12"/>
        <v>55.2</v>
      </c>
    </row>
    <row r="24" hidden="1">
      <c r="A24" s="38"/>
      <c r="B24" s="40" t="s">
        <v>215</v>
      </c>
      <c r="C24" s="40" t="s">
        <v>152</v>
      </c>
      <c r="D24" s="50"/>
      <c r="E24" s="40" t="s">
        <v>162</v>
      </c>
      <c r="F24" s="50">
        <v>0.0</v>
      </c>
      <c r="G24" s="40">
        <v>3680.0</v>
      </c>
      <c r="H24" s="48">
        <f t="shared" si="2"/>
        <v>0</v>
      </c>
      <c r="I24" s="4"/>
      <c r="J24" s="28">
        <f t="shared" si="12"/>
        <v>55.2</v>
      </c>
    </row>
    <row r="25">
      <c r="A25" s="38">
        <v>11.0</v>
      </c>
      <c r="B25" s="39" t="s">
        <v>83</v>
      </c>
      <c r="C25" s="40" t="s">
        <v>23</v>
      </c>
      <c r="D25" s="27"/>
      <c r="E25" s="74"/>
      <c r="F25" s="27">
        <v>1.0</v>
      </c>
      <c r="G25" s="42">
        <v>4400.0</v>
      </c>
      <c r="H25" s="41">
        <f t="shared" si="2"/>
        <v>4400</v>
      </c>
      <c r="I25" s="4"/>
      <c r="J25" s="43">
        <f t="shared" ref="J25:J31" si="13">G25/65</f>
        <v>67.69230769</v>
      </c>
      <c r="K25" s="43">
        <f t="shared" ref="K25:K31" si="14">(J25*2.5)</f>
        <v>169.2307692</v>
      </c>
      <c r="L25" s="43">
        <f t="shared" ref="L25:L31" si="15">(K25*0.75)</f>
        <v>126.9230769</v>
      </c>
    </row>
    <row r="26">
      <c r="A26" s="38">
        <v>12.0</v>
      </c>
      <c r="B26" s="39" t="s">
        <v>107</v>
      </c>
      <c r="C26" s="40" t="s">
        <v>23</v>
      </c>
      <c r="D26" s="27"/>
      <c r="E26" s="74"/>
      <c r="F26" s="27">
        <v>1.0</v>
      </c>
      <c r="G26" s="42">
        <v>5200.0</v>
      </c>
      <c r="H26" s="41">
        <f t="shared" si="2"/>
        <v>5200</v>
      </c>
      <c r="I26" s="4"/>
      <c r="J26" s="43">
        <f t="shared" si="13"/>
        <v>80</v>
      </c>
      <c r="K26" s="43">
        <f t="shared" si="14"/>
        <v>200</v>
      </c>
      <c r="L26" s="43">
        <f t="shared" si="15"/>
        <v>150</v>
      </c>
    </row>
    <row r="27">
      <c r="A27" s="38">
        <v>13.0</v>
      </c>
      <c r="B27" s="39" t="s">
        <v>114</v>
      </c>
      <c r="C27" s="40" t="s">
        <v>23</v>
      </c>
      <c r="D27" s="27"/>
      <c r="E27" s="74"/>
      <c r="F27" s="27">
        <v>1.0</v>
      </c>
      <c r="G27" s="42">
        <v>6720.0</v>
      </c>
      <c r="H27" s="41">
        <f t="shared" si="2"/>
        <v>6720</v>
      </c>
      <c r="I27" s="4"/>
      <c r="J27" s="43">
        <f t="shared" si="13"/>
        <v>103.3846154</v>
      </c>
      <c r="K27" s="43">
        <f t="shared" si="14"/>
        <v>258.4615385</v>
      </c>
      <c r="L27" s="43">
        <f t="shared" si="15"/>
        <v>193.8461538</v>
      </c>
    </row>
    <row r="28">
      <c r="A28" s="38">
        <v>14.0</v>
      </c>
      <c r="B28" s="39" t="s">
        <v>117</v>
      </c>
      <c r="C28" s="40" t="s">
        <v>23</v>
      </c>
      <c r="D28" s="27"/>
      <c r="E28" s="74"/>
      <c r="F28" s="27">
        <v>1.0</v>
      </c>
      <c r="G28" s="42">
        <v>4800.0</v>
      </c>
      <c r="H28" s="41">
        <f t="shared" si="2"/>
        <v>4800</v>
      </c>
      <c r="I28" s="4"/>
      <c r="J28" s="43">
        <f t="shared" si="13"/>
        <v>73.84615385</v>
      </c>
      <c r="K28" s="43">
        <f t="shared" si="14"/>
        <v>184.6153846</v>
      </c>
      <c r="L28" s="43">
        <f t="shared" si="15"/>
        <v>138.4615385</v>
      </c>
    </row>
    <row r="29">
      <c r="A29" s="38">
        <v>15.0</v>
      </c>
      <c r="B29" s="39" t="s">
        <v>30</v>
      </c>
      <c r="C29" s="40" t="s">
        <v>23</v>
      </c>
      <c r="D29" s="27"/>
      <c r="E29" s="74"/>
      <c r="F29" s="27">
        <v>1.0</v>
      </c>
      <c r="G29" s="42">
        <v>6720.0</v>
      </c>
      <c r="H29" s="41">
        <f t="shared" si="2"/>
        <v>6720</v>
      </c>
      <c r="I29" s="4"/>
      <c r="J29" s="43">
        <f t="shared" si="13"/>
        <v>103.3846154</v>
      </c>
      <c r="K29" s="43">
        <f t="shared" si="14"/>
        <v>258.4615385</v>
      </c>
      <c r="L29" s="43">
        <f t="shared" si="15"/>
        <v>193.8461538</v>
      </c>
    </row>
    <row r="30">
      <c r="A30" s="38">
        <v>16.0</v>
      </c>
      <c r="B30" s="39" t="s">
        <v>132</v>
      </c>
      <c r="C30" s="40" t="s">
        <v>23</v>
      </c>
      <c r="D30" s="27"/>
      <c r="E30" s="74"/>
      <c r="F30" s="27">
        <v>1.0</v>
      </c>
      <c r="G30" s="42">
        <v>5120.0</v>
      </c>
      <c r="H30" s="41">
        <f t="shared" si="2"/>
        <v>5120</v>
      </c>
      <c r="I30" s="4"/>
      <c r="J30" s="43">
        <f t="shared" si="13"/>
        <v>78.76923077</v>
      </c>
      <c r="K30" s="43">
        <f t="shared" si="14"/>
        <v>196.9230769</v>
      </c>
      <c r="L30" s="43">
        <f t="shared" si="15"/>
        <v>147.6923077</v>
      </c>
    </row>
    <row r="31">
      <c r="A31" s="38">
        <v>17.0</v>
      </c>
      <c r="B31" s="39" t="s">
        <v>138</v>
      </c>
      <c r="C31" s="40" t="s">
        <v>23</v>
      </c>
      <c r="D31" s="27"/>
      <c r="E31" s="74"/>
      <c r="F31" s="27">
        <v>1.0</v>
      </c>
      <c r="G31" s="42">
        <v>4800.0</v>
      </c>
      <c r="H31" s="41">
        <f t="shared" si="2"/>
        <v>4800</v>
      </c>
      <c r="I31" s="4"/>
      <c r="J31" s="43">
        <f t="shared" si="13"/>
        <v>73.84615385</v>
      </c>
      <c r="K31" s="43">
        <f t="shared" si="14"/>
        <v>184.6153846</v>
      </c>
      <c r="L31" s="43">
        <f t="shared" si="15"/>
        <v>138.4615385</v>
      </c>
    </row>
    <row r="32" hidden="1">
      <c r="A32" s="38"/>
      <c r="B32" s="40" t="s">
        <v>261</v>
      </c>
      <c r="C32" s="40" t="s">
        <v>23</v>
      </c>
      <c r="D32" s="50"/>
      <c r="E32" s="77"/>
      <c r="F32" s="50">
        <v>0.0</v>
      </c>
      <c r="G32" s="40">
        <v>4160.0</v>
      </c>
      <c r="H32" s="48">
        <f t="shared" si="2"/>
        <v>0</v>
      </c>
      <c r="I32" s="4"/>
      <c r="J32" s="28">
        <f>G32*0.015</f>
        <v>62.4</v>
      </c>
    </row>
    <row r="33">
      <c r="A33" s="38">
        <v>18.0</v>
      </c>
      <c r="B33" s="39" t="s">
        <v>143</v>
      </c>
      <c r="C33" s="40" t="s">
        <v>23</v>
      </c>
      <c r="D33" s="27"/>
      <c r="E33" s="74"/>
      <c r="F33" s="27">
        <v>1.0</v>
      </c>
      <c r="G33" s="42">
        <v>5520.0</v>
      </c>
      <c r="H33" s="41">
        <f t="shared" si="2"/>
        <v>5520</v>
      </c>
      <c r="I33" s="4"/>
      <c r="J33" s="43">
        <f t="shared" ref="J33:J35" si="16">G33/65</f>
        <v>84.92307692</v>
      </c>
      <c r="K33" s="43">
        <f t="shared" ref="K33:K35" si="17">(J33*2.5)</f>
        <v>212.3076923</v>
      </c>
      <c r="L33" s="43">
        <f t="shared" ref="L33:L35" si="18">(K33*0.75)</f>
        <v>159.2307692</v>
      </c>
    </row>
    <row r="34">
      <c r="A34" s="38">
        <v>19.0</v>
      </c>
      <c r="B34" s="39" t="s">
        <v>154</v>
      </c>
      <c r="C34" s="40" t="s">
        <v>23</v>
      </c>
      <c r="D34" s="27"/>
      <c r="E34" s="74"/>
      <c r="F34" s="27">
        <v>1.0</v>
      </c>
      <c r="G34" s="42">
        <v>6720.0</v>
      </c>
      <c r="H34" s="41">
        <f t="shared" si="2"/>
        <v>6720</v>
      </c>
      <c r="I34" s="4"/>
      <c r="J34" s="43">
        <f t="shared" si="16"/>
        <v>103.3846154</v>
      </c>
      <c r="K34" s="43">
        <f t="shared" si="17"/>
        <v>258.4615385</v>
      </c>
      <c r="L34" s="43">
        <f t="shared" si="18"/>
        <v>193.8461538</v>
      </c>
    </row>
    <row r="35">
      <c r="A35" s="38">
        <v>20.0</v>
      </c>
      <c r="B35" s="39" t="s">
        <v>164</v>
      </c>
      <c r="C35" s="40" t="s">
        <v>23</v>
      </c>
      <c r="D35" s="27"/>
      <c r="E35" s="74"/>
      <c r="F35" s="27">
        <v>1.0</v>
      </c>
      <c r="G35" s="42">
        <v>4640.0</v>
      </c>
      <c r="H35" s="41">
        <f t="shared" si="2"/>
        <v>4640</v>
      </c>
      <c r="I35" s="4"/>
      <c r="J35" s="43">
        <f t="shared" si="16"/>
        <v>71.38461538</v>
      </c>
      <c r="K35" s="43">
        <f t="shared" si="17"/>
        <v>178.4615385</v>
      </c>
      <c r="L35" s="43">
        <f t="shared" si="18"/>
        <v>133.8461538</v>
      </c>
    </row>
    <row r="36" hidden="1">
      <c r="A36" s="38"/>
      <c r="B36" s="40" t="s">
        <v>288</v>
      </c>
      <c r="C36" s="40" t="s">
        <v>23</v>
      </c>
      <c r="D36" s="50"/>
      <c r="E36" s="77"/>
      <c r="F36" s="50">
        <v>0.0</v>
      </c>
      <c r="G36" s="40">
        <v>4640.0</v>
      </c>
      <c r="H36" s="48">
        <f t="shared" si="2"/>
        <v>0</v>
      </c>
      <c r="I36" s="4"/>
      <c r="J36" s="28">
        <f>G36*0.015</f>
        <v>69.6</v>
      </c>
    </row>
    <row r="37">
      <c r="A37" s="38">
        <v>21.0</v>
      </c>
      <c r="B37" s="39" t="s">
        <v>170</v>
      </c>
      <c r="C37" s="40" t="s">
        <v>23</v>
      </c>
      <c r="D37" s="27"/>
      <c r="E37" s="74"/>
      <c r="F37" s="27">
        <v>1.0</v>
      </c>
      <c r="G37" s="42">
        <v>4640.0</v>
      </c>
      <c r="H37" s="41">
        <f t="shared" si="2"/>
        <v>4640</v>
      </c>
      <c r="I37" s="4"/>
      <c r="J37" s="43">
        <f>G37/65</f>
        <v>71.38461538</v>
      </c>
      <c r="K37" s="43">
        <f>(J37*2.5)</f>
        <v>178.4615385</v>
      </c>
      <c r="L37" s="43">
        <f>(K37*0.75)</f>
        <v>133.8461538</v>
      </c>
    </row>
    <row r="38" hidden="1">
      <c r="A38" s="38"/>
      <c r="B38" s="40" t="s">
        <v>304</v>
      </c>
      <c r="C38" s="40" t="s">
        <v>23</v>
      </c>
      <c r="D38" s="50"/>
      <c r="E38" s="77"/>
      <c r="F38" s="50">
        <v>0.0</v>
      </c>
      <c r="G38" s="40">
        <v>4800.0</v>
      </c>
      <c r="H38" s="48">
        <f t="shared" si="2"/>
        <v>0</v>
      </c>
      <c r="I38" s="4"/>
      <c r="J38" s="28">
        <f>G38*0.015</f>
        <v>72</v>
      </c>
    </row>
    <row r="39">
      <c r="A39" s="38">
        <v>22.0</v>
      </c>
      <c r="B39" s="39" t="s">
        <v>178</v>
      </c>
      <c r="C39" s="40" t="s">
        <v>23</v>
      </c>
      <c r="D39" s="27"/>
      <c r="E39" s="74"/>
      <c r="F39" s="27">
        <v>1.0</v>
      </c>
      <c r="G39" s="42">
        <v>4800.0</v>
      </c>
      <c r="H39" s="41">
        <f t="shared" si="2"/>
        <v>4800</v>
      </c>
      <c r="I39" s="4"/>
      <c r="J39" s="43">
        <f t="shared" ref="J39:J49" si="19">G39/65</f>
        <v>73.84615385</v>
      </c>
      <c r="K39" s="43">
        <f t="shared" ref="K39:K49" si="20">(J39*2.5)</f>
        <v>184.6153846</v>
      </c>
      <c r="L39" s="43">
        <f t="shared" ref="L39:L49" si="21">(K39*0.75)</f>
        <v>138.4615385</v>
      </c>
    </row>
    <row r="40">
      <c r="A40" s="38">
        <v>23.0</v>
      </c>
      <c r="B40" s="39" t="s">
        <v>187</v>
      </c>
      <c r="C40" s="40" t="s">
        <v>23</v>
      </c>
      <c r="D40" s="27"/>
      <c r="E40" s="74"/>
      <c r="F40" s="27">
        <v>1.0</v>
      </c>
      <c r="G40" s="42">
        <v>4800.0</v>
      </c>
      <c r="H40" s="41">
        <f t="shared" si="2"/>
        <v>4800</v>
      </c>
      <c r="I40" s="4"/>
      <c r="J40" s="43">
        <f t="shared" si="19"/>
        <v>73.84615385</v>
      </c>
      <c r="K40" s="43">
        <f t="shared" si="20"/>
        <v>184.6153846</v>
      </c>
      <c r="L40" s="43">
        <f t="shared" si="21"/>
        <v>138.4615385</v>
      </c>
    </row>
    <row r="41">
      <c r="A41" s="38">
        <v>24.0</v>
      </c>
      <c r="B41" s="39" t="s">
        <v>197</v>
      </c>
      <c r="C41" s="40" t="s">
        <v>23</v>
      </c>
      <c r="D41" s="27"/>
      <c r="E41" s="74"/>
      <c r="F41" s="27">
        <v>1.0</v>
      </c>
      <c r="G41" s="42">
        <v>3120.0</v>
      </c>
      <c r="H41" s="41">
        <f t="shared" si="2"/>
        <v>3120</v>
      </c>
      <c r="I41" s="4"/>
      <c r="J41" s="43">
        <f t="shared" si="19"/>
        <v>48</v>
      </c>
      <c r="K41" s="43">
        <f t="shared" si="20"/>
        <v>120</v>
      </c>
      <c r="L41" s="43">
        <f t="shared" si="21"/>
        <v>90</v>
      </c>
    </row>
    <row r="42">
      <c r="A42" s="38">
        <v>25.0</v>
      </c>
      <c r="B42" s="39" t="s">
        <v>205</v>
      </c>
      <c r="C42" s="40" t="s">
        <v>23</v>
      </c>
      <c r="D42" s="27"/>
      <c r="E42" s="74"/>
      <c r="F42" s="27">
        <v>1.0</v>
      </c>
      <c r="G42" s="42">
        <v>3520.0</v>
      </c>
      <c r="H42" s="41">
        <f t="shared" si="2"/>
        <v>3520</v>
      </c>
      <c r="I42" s="4"/>
      <c r="J42" s="43">
        <f t="shared" si="19"/>
        <v>54.15384615</v>
      </c>
      <c r="K42" s="43">
        <f t="shared" si="20"/>
        <v>135.3846154</v>
      </c>
      <c r="L42" s="43">
        <f t="shared" si="21"/>
        <v>101.5384615</v>
      </c>
    </row>
    <row r="43">
      <c r="A43" s="38">
        <v>26.0</v>
      </c>
      <c r="B43" s="39" t="s">
        <v>213</v>
      </c>
      <c r="C43" s="40" t="s">
        <v>23</v>
      </c>
      <c r="D43" s="27"/>
      <c r="E43" s="74"/>
      <c r="F43" s="27">
        <v>1.0</v>
      </c>
      <c r="G43" s="42">
        <v>3520.0</v>
      </c>
      <c r="H43" s="41">
        <f t="shared" si="2"/>
        <v>3520</v>
      </c>
      <c r="I43" s="4"/>
      <c r="J43" s="43">
        <f t="shared" si="19"/>
        <v>54.15384615</v>
      </c>
      <c r="K43" s="43">
        <f t="shared" si="20"/>
        <v>135.3846154</v>
      </c>
      <c r="L43" s="43">
        <f t="shared" si="21"/>
        <v>101.5384615</v>
      </c>
    </row>
    <row r="44">
      <c r="A44" s="38">
        <v>27.0</v>
      </c>
      <c r="B44" s="39" t="s">
        <v>219</v>
      </c>
      <c r="C44" s="40" t="s">
        <v>23</v>
      </c>
      <c r="D44" s="27"/>
      <c r="E44" s="74"/>
      <c r="F44" s="27">
        <v>1.0</v>
      </c>
      <c r="G44" s="42">
        <v>3520.0</v>
      </c>
      <c r="H44" s="41">
        <f t="shared" si="2"/>
        <v>3520</v>
      </c>
      <c r="I44" s="4"/>
      <c r="J44" s="43">
        <f t="shared" si="19"/>
        <v>54.15384615</v>
      </c>
      <c r="K44" s="43">
        <f t="shared" si="20"/>
        <v>135.3846154</v>
      </c>
      <c r="L44" s="43">
        <f t="shared" si="21"/>
        <v>101.5384615</v>
      </c>
    </row>
    <row r="45">
      <c r="A45" s="38">
        <v>28.0</v>
      </c>
      <c r="B45" s="39" t="s">
        <v>225</v>
      </c>
      <c r="C45" s="40" t="s">
        <v>23</v>
      </c>
      <c r="D45" s="27"/>
      <c r="E45" s="74"/>
      <c r="F45" s="27">
        <v>1.0</v>
      </c>
      <c r="G45" s="42">
        <v>3680.0</v>
      </c>
      <c r="H45" s="41">
        <f t="shared" si="2"/>
        <v>3680</v>
      </c>
      <c r="I45" s="4"/>
      <c r="J45" s="43">
        <f t="shared" si="19"/>
        <v>56.61538462</v>
      </c>
      <c r="K45" s="43">
        <f t="shared" si="20"/>
        <v>141.5384615</v>
      </c>
      <c r="L45" s="43">
        <f t="shared" si="21"/>
        <v>106.1538462</v>
      </c>
    </row>
    <row r="46">
      <c r="A46" s="38">
        <v>29.0</v>
      </c>
      <c r="B46" s="39" t="s">
        <v>232</v>
      </c>
      <c r="C46" s="40" t="s">
        <v>23</v>
      </c>
      <c r="D46" s="27"/>
      <c r="E46" s="74"/>
      <c r="F46" s="27">
        <v>1.0</v>
      </c>
      <c r="G46" s="42">
        <v>3824.0</v>
      </c>
      <c r="H46" s="41">
        <f t="shared" si="2"/>
        <v>3824</v>
      </c>
      <c r="I46" s="4"/>
      <c r="J46" s="43">
        <f t="shared" si="19"/>
        <v>58.83076923</v>
      </c>
      <c r="K46" s="43">
        <f t="shared" si="20"/>
        <v>147.0769231</v>
      </c>
      <c r="L46" s="43">
        <f t="shared" si="21"/>
        <v>110.3076923</v>
      </c>
    </row>
    <row r="47">
      <c r="A47" s="38">
        <v>30.0</v>
      </c>
      <c r="B47" s="39" t="s">
        <v>237</v>
      </c>
      <c r="C47" s="40" t="s">
        <v>23</v>
      </c>
      <c r="D47" s="27"/>
      <c r="E47" s="74"/>
      <c r="F47" s="27">
        <v>1.0</v>
      </c>
      <c r="G47" s="42">
        <v>3840.0</v>
      </c>
      <c r="H47" s="41">
        <f t="shared" si="2"/>
        <v>3840</v>
      </c>
      <c r="I47" s="4"/>
      <c r="J47" s="43">
        <f t="shared" si="19"/>
        <v>59.07692308</v>
      </c>
      <c r="K47" s="43">
        <f t="shared" si="20"/>
        <v>147.6923077</v>
      </c>
      <c r="L47" s="43">
        <f t="shared" si="21"/>
        <v>110.7692308</v>
      </c>
    </row>
    <row r="48">
      <c r="A48" s="38">
        <v>31.0</v>
      </c>
      <c r="B48" s="39" t="s">
        <v>243</v>
      </c>
      <c r="C48" s="40" t="s">
        <v>23</v>
      </c>
      <c r="D48" s="27"/>
      <c r="E48" s="74"/>
      <c r="F48" s="27">
        <v>1.0</v>
      </c>
      <c r="G48" s="42">
        <v>3984.0</v>
      </c>
      <c r="H48" s="41">
        <f t="shared" si="2"/>
        <v>3984</v>
      </c>
      <c r="I48" s="4"/>
      <c r="J48" s="43">
        <f t="shared" si="19"/>
        <v>61.29230769</v>
      </c>
      <c r="K48" s="43">
        <f t="shared" si="20"/>
        <v>153.2307692</v>
      </c>
      <c r="L48" s="43">
        <f t="shared" si="21"/>
        <v>114.9230769</v>
      </c>
    </row>
    <row r="49">
      <c r="A49" s="38">
        <v>32.0</v>
      </c>
      <c r="B49" s="39" t="s">
        <v>248</v>
      </c>
      <c r="C49" s="40" t="s">
        <v>23</v>
      </c>
      <c r="D49" s="57"/>
      <c r="E49" s="74"/>
      <c r="F49" s="27">
        <v>1.0</v>
      </c>
      <c r="G49" s="42">
        <v>3984.0</v>
      </c>
      <c r="H49" s="41">
        <f t="shared" si="2"/>
        <v>3984</v>
      </c>
      <c r="I49" s="4"/>
      <c r="J49" s="43">
        <f t="shared" si="19"/>
        <v>61.29230769</v>
      </c>
      <c r="K49" s="43">
        <f t="shared" si="20"/>
        <v>153.2307692</v>
      </c>
      <c r="L49" s="43">
        <f t="shared" si="21"/>
        <v>114.9230769</v>
      </c>
    </row>
    <row r="50" hidden="1">
      <c r="A50" s="38"/>
      <c r="B50" s="40" t="s">
        <v>340</v>
      </c>
      <c r="C50" s="40" t="s">
        <v>23</v>
      </c>
      <c r="D50" s="50"/>
      <c r="E50" s="77"/>
      <c r="F50" s="50">
        <v>0.0</v>
      </c>
      <c r="G50" s="40">
        <v>3984.0</v>
      </c>
      <c r="H50" s="48">
        <f t="shared" si="2"/>
        <v>0</v>
      </c>
      <c r="I50" s="4"/>
      <c r="J50" s="28">
        <f>G50*0.015</f>
        <v>59.76</v>
      </c>
    </row>
    <row r="51">
      <c r="A51" s="38">
        <v>33.0</v>
      </c>
      <c r="B51" s="39" t="s">
        <v>108</v>
      </c>
      <c r="C51" s="40" t="s">
        <v>23</v>
      </c>
      <c r="D51" s="27"/>
      <c r="E51" s="74"/>
      <c r="F51" s="27">
        <v>1.0</v>
      </c>
      <c r="G51" s="42">
        <v>4232.0</v>
      </c>
      <c r="H51" s="41">
        <f t="shared" si="2"/>
        <v>4232</v>
      </c>
      <c r="I51" s="4"/>
      <c r="J51" s="43">
        <f t="shared" ref="J51:J54" si="22">G51/65</f>
        <v>65.10769231</v>
      </c>
      <c r="K51" s="43">
        <f t="shared" ref="K51:K54" si="23">(J51*2.5)</f>
        <v>162.7692308</v>
      </c>
      <c r="L51" s="43">
        <f t="shared" ref="L51:L54" si="24">(K51*0.75)</f>
        <v>122.0769231</v>
      </c>
    </row>
    <row r="52">
      <c r="A52" s="38">
        <v>34.0</v>
      </c>
      <c r="B52" s="39" t="s">
        <v>105</v>
      </c>
      <c r="C52" s="40" t="s">
        <v>23</v>
      </c>
      <c r="D52" s="27"/>
      <c r="E52" s="74"/>
      <c r="F52" s="27">
        <v>1.0</v>
      </c>
      <c r="G52" s="42">
        <v>4400.0</v>
      </c>
      <c r="H52" s="41">
        <f t="shared" si="2"/>
        <v>4400</v>
      </c>
      <c r="I52" s="4"/>
      <c r="J52" s="43">
        <f t="shared" si="22"/>
        <v>67.69230769</v>
      </c>
      <c r="K52" s="43">
        <f t="shared" si="23"/>
        <v>169.2307692</v>
      </c>
      <c r="L52" s="43">
        <f t="shared" si="24"/>
        <v>126.9230769</v>
      </c>
    </row>
    <row r="53">
      <c r="A53" s="38">
        <v>35.0</v>
      </c>
      <c r="B53" s="39" t="s">
        <v>265</v>
      </c>
      <c r="C53" s="40" t="s">
        <v>23</v>
      </c>
      <c r="D53" s="27"/>
      <c r="E53" s="74"/>
      <c r="F53" s="27">
        <v>1.0</v>
      </c>
      <c r="G53" s="42">
        <v>4400.0</v>
      </c>
      <c r="H53" s="41">
        <f t="shared" si="2"/>
        <v>4400</v>
      </c>
      <c r="I53" s="4"/>
      <c r="J53" s="43">
        <f t="shared" si="22"/>
        <v>67.69230769</v>
      </c>
      <c r="K53" s="43">
        <f t="shared" si="23"/>
        <v>169.2307692</v>
      </c>
      <c r="L53" s="43">
        <f t="shared" si="24"/>
        <v>126.9230769</v>
      </c>
    </row>
    <row r="54">
      <c r="A54" s="38">
        <v>36.0</v>
      </c>
      <c r="B54" s="39" t="s">
        <v>271</v>
      </c>
      <c r="C54" s="40" t="s">
        <v>23</v>
      </c>
      <c r="D54" s="27"/>
      <c r="E54" s="74"/>
      <c r="F54" s="27">
        <v>1.0</v>
      </c>
      <c r="G54" s="42">
        <v>4480.0</v>
      </c>
      <c r="H54" s="41">
        <f t="shared" si="2"/>
        <v>4480</v>
      </c>
      <c r="I54" s="4"/>
      <c r="J54" s="43">
        <f t="shared" si="22"/>
        <v>68.92307692</v>
      </c>
      <c r="K54" s="43">
        <f t="shared" si="23"/>
        <v>172.3076923</v>
      </c>
      <c r="L54" s="43">
        <f t="shared" si="24"/>
        <v>129.2307692</v>
      </c>
    </row>
    <row r="55" hidden="1">
      <c r="A55" s="38"/>
      <c r="B55" s="40" t="s">
        <v>354</v>
      </c>
      <c r="C55" s="40" t="s">
        <v>23</v>
      </c>
      <c r="D55" s="50"/>
      <c r="E55" s="77"/>
      <c r="F55" s="50">
        <v>0.0</v>
      </c>
      <c r="G55" s="40">
        <v>4480.0</v>
      </c>
      <c r="H55" s="48">
        <f t="shared" si="2"/>
        <v>0</v>
      </c>
      <c r="I55" s="4"/>
      <c r="J55" s="28">
        <f>G55*0.015</f>
        <v>67.2</v>
      </c>
    </row>
    <row r="56">
      <c r="A56" s="38">
        <v>37.0</v>
      </c>
      <c r="B56" s="39" t="s">
        <v>276</v>
      </c>
      <c r="C56" s="40" t="s">
        <v>23</v>
      </c>
      <c r="D56" s="27"/>
      <c r="E56" s="74"/>
      <c r="F56" s="27">
        <v>1.0</v>
      </c>
      <c r="G56" s="42">
        <v>4480.0</v>
      </c>
      <c r="H56" s="41">
        <f t="shared" si="2"/>
        <v>4480</v>
      </c>
      <c r="I56" s="4"/>
      <c r="J56" s="43">
        <f>G56/65</f>
        <v>68.92307692</v>
      </c>
      <c r="K56" s="43">
        <f>(J56*2.5)</f>
        <v>172.3076923</v>
      </c>
      <c r="L56" s="43">
        <f>(K56*0.75)</f>
        <v>129.2307692</v>
      </c>
    </row>
    <row r="57" hidden="1">
      <c r="A57" s="38"/>
      <c r="B57" s="40" t="s">
        <v>195</v>
      </c>
      <c r="C57" s="40" t="s">
        <v>23</v>
      </c>
      <c r="D57" s="50"/>
      <c r="E57" s="77"/>
      <c r="F57" s="50">
        <v>0.0</v>
      </c>
      <c r="G57" s="40">
        <v>4480.0</v>
      </c>
      <c r="H57" s="48">
        <f t="shared" si="2"/>
        <v>0</v>
      </c>
      <c r="I57" s="4"/>
      <c r="J57" s="28">
        <f>G57*0.015</f>
        <v>67.2</v>
      </c>
    </row>
    <row r="58">
      <c r="A58" s="38">
        <v>38.0</v>
      </c>
      <c r="B58" s="39" t="s">
        <v>280</v>
      </c>
      <c r="C58" s="40" t="s">
        <v>23</v>
      </c>
      <c r="D58" s="27"/>
      <c r="E58" s="74"/>
      <c r="F58" s="27">
        <v>1.0</v>
      </c>
      <c r="G58" s="42">
        <v>4560.0</v>
      </c>
      <c r="H58" s="41">
        <f t="shared" si="2"/>
        <v>4560</v>
      </c>
      <c r="I58" s="4"/>
      <c r="J58" s="43">
        <f t="shared" ref="J58:J61" si="25">G58/65</f>
        <v>70.15384615</v>
      </c>
      <c r="K58" s="43">
        <f t="shared" ref="K58:K61" si="26">(J58*2.5)</f>
        <v>175.3846154</v>
      </c>
      <c r="L58" s="43">
        <f t="shared" ref="L58:L61" si="27">(K58*0.75)</f>
        <v>131.5384615</v>
      </c>
    </row>
    <row r="59">
      <c r="A59" s="38">
        <v>39.0</v>
      </c>
      <c r="B59" s="39" t="s">
        <v>285</v>
      </c>
      <c r="C59" s="40" t="s">
        <v>23</v>
      </c>
      <c r="D59" s="27"/>
      <c r="E59" s="41"/>
      <c r="F59" s="27">
        <v>1.0</v>
      </c>
      <c r="G59" s="42">
        <v>4640.0</v>
      </c>
      <c r="H59" s="41">
        <f t="shared" si="2"/>
        <v>4640</v>
      </c>
      <c r="I59" s="4"/>
      <c r="J59" s="43">
        <f t="shared" si="25"/>
        <v>71.38461538</v>
      </c>
      <c r="K59" s="43">
        <f t="shared" si="26"/>
        <v>178.4615385</v>
      </c>
      <c r="L59" s="43">
        <f t="shared" si="27"/>
        <v>133.8461538</v>
      </c>
    </row>
    <row r="60">
      <c r="A60" s="38">
        <v>40.0</v>
      </c>
      <c r="B60" s="39" t="s">
        <v>292</v>
      </c>
      <c r="C60" s="40" t="s">
        <v>23</v>
      </c>
      <c r="D60" s="27"/>
      <c r="E60" s="41"/>
      <c r="F60" s="27">
        <v>1.0</v>
      </c>
      <c r="G60" s="42">
        <v>4640.0</v>
      </c>
      <c r="H60" s="41">
        <f t="shared" si="2"/>
        <v>4640</v>
      </c>
      <c r="I60" s="4"/>
      <c r="J60" s="43">
        <f t="shared" si="25"/>
        <v>71.38461538</v>
      </c>
      <c r="K60" s="43">
        <f t="shared" si="26"/>
        <v>178.4615385</v>
      </c>
      <c r="L60" s="43">
        <f t="shared" si="27"/>
        <v>133.8461538</v>
      </c>
    </row>
    <row r="61">
      <c r="A61" s="38">
        <v>41.0</v>
      </c>
      <c r="B61" s="39" t="s">
        <v>298</v>
      </c>
      <c r="C61" s="40" t="s">
        <v>23</v>
      </c>
      <c r="D61" s="27"/>
      <c r="E61" s="41"/>
      <c r="F61" s="27">
        <v>1.0</v>
      </c>
      <c r="G61" s="42">
        <v>4768.0</v>
      </c>
      <c r="H61" s="41">
        <f t="shared" si="2"/>
        <v>4768</v>
      </c>
      <c r="I61" s="4"/>
      <c r="J61" s="43">
        <f t="shared" si="25"/>
        <v>73.35384615</v>
      </c>
      <c r="K61" s="43">
        <f t="shared" si="26"/>
        <v>183.3846154</v>
      </c>
      <c r="L61" s="43">
        <f t="shared" si="27"/>
        <v>137.5384615</v>
      </c>
    </row>
    <row r="62">
      <c r="A62" s="38"/>
      <c r="B62" s="39"/>
      <c r="C62" s="40"/>
      <c r="D62" s="27"/>
      <c r="E62" s="41"/>
      <c r="F62" s="27"/>
      <c r="G62" s="42"/>
      <c r="H62" s="41"/>
      <c r="I62" s="18"/>
      <c r="J62" s="43"/>
      <c r="K62" s="43"/>
      <c r="L62" s="43"/>
    </row>
    <row r="63">
      <c r="A63" s="38">
        <v>42.0</v>
      </c>
      <c r="B63" s="39" t="s">
        <v>301</v>
      </c>
      <c r="C63" s="40" t="s">
        <v>23</v>
      </c>
      <c r="D63" s="27"/>
      <c r="E63" s="41"/>
      <c r="F63" s="27">
        <v>1.0</v>
      </c>
      <c r="G63" s="42">
        <v>4960.0</v>
      </c>
      <c r="H63" s="41">
        <f t="shared" ref="H63:H102" si="28">F63*G63</f>
        <v>4960</v>
      </c>
      <c r="I63" s="18" t="s">
        <v>377</v>
      </c>
      <c r="J63" s="43">
        <f t="shared" ref="J63:J77" si="29">G63/65</f>
        <v>76.30769231</v>
      </c>
      <c r="K63" s="43">
        <f t="shared" ref="K63:K77" si="30">(J63*2.5)</f>
        <v>190.7692308</v>
      </c>
      <c r="L63" s="43">
        <f t="shared" ref="L63:L77" si="31">(K63*0.75)</f>
        <v>143.0769231</v>
      </c>
    </row>
    <row r="64">
      <c r="A64" s="38">
        <v>43.0</v>
      </c>
      <c r="B64" s="39" t="s">
        <v>97</v>
      </c>
      <c r="C64" s="40" t="s">
        <v>23</v>
      </c>
      <c r="D64" s="97"/>
      <c r="E64" s="41"/>
      <c r="F64" s="27">
        <v>1.0</v>
      </c>
      <c r="G64" s="42">
        <v>4960.0</v>
      </c>
      <c r="H64" s="41">
        <f t="shared" si="28"/>
        <v>4960</v>
      </c>
      <c r="I64" s="18" t="s">
        <v>377</v>
      </c>
      <c r="J64" s="43">
        <f t="shared" si="29"/>
        <v>76.30769231</v>
      </c>
      <c r="K64" s="43">
        <f t="shared" si="30"/>
        <v>190.7692308</v>
      </c>
      <c r="L64" s="43">
        <f t="shared" si="31"/>
        <v>143.0769231</v>
      </c>
    </row>
    <row r="65">
      <c r="A65" s="38">
        <v>44.0</v>
      </c>
      <c r="B65" s="39" t="s">
        <v>313</v>
      </c>
      <c r="C65" s="40" t="s">
        <v>23</v>
      </c>
      <c r="D65" s="97"/>
      <c r="E65" s="41"/>
      <c r="F65" s="27">
        <v>1.0</v>
      </c>
      <c r="G65" s="42">
        <v>5120.0</v>
      </c>
      <c r="H65" s="41">
        <f t="shared" si="28"/>
        <v>5120</v>
      </c>
      <c r="I65" s="4"/>
      <c r="J65" s="43">
        <f t="shared" si="29"/>
        <v>78.76923077</v>
      </c>
      <c r="K65" s="43">
        <f t="shared" si="30"/>
        <v>196.9230769</v>
      </c>
      <c r="L65" s="43">
        <f t="shared" si="31"/>
        <v>147.6923077</v>
      </c>
    </row>
    <row r="66">
      <c r="A66" s="38">
        <v>45.0</v>
      </c>
      <c r="B66" s="39" t="s">
        <v>318</v>
      </c>
      <c r="C66" s="40" t="s">
        <v>23</v>
      </c>
      <c r="D66" s="97"/>
      <c r="E66" s="41"/>
      <c r="F66" s="27">
        <v>1.0</v>
      </c>
      <c r="G66" s="42">
        <v>5280.0</v>
      </c>
      <c r="H66" s="41">
        <f t="shared" si="28"/>
        <v>5280</v>
      </c>
      <c r="I66" s="4"/>
      <c r="J66" s="43">
        <f t="shared" si="29"/>
        <v>81.23076923</v>
      </c>
      <c r="K66" s="43">
        <f t="shared" si="30"/>
        <v>203.0769231</v>
      </c>
      <c r="L66" s="43">
        <f t="shared" si="31"/>
        <v>152.3076923</v>
      </c>
    </row>
    <row r="67">
      <c r="A67" s="38">
        <v>46.0</v>
      </c>
      <c r="B67" s="39" t="s">
        <v>321</v>
      </c>
      <c r="C67" s="40" t="s">
        <v>23</v>
      </c>
      <c r="D67" s="98"/>
      <c r="E67" s="41"/>
      <c r="F67" s="27">
        <v>1.0</v>
      </c>
      <c r="G67" s="42">
        <v>5280.0</v>
      </c>
      <c r="H67" s="41">
        <f t="shared" si="28"/>
        <v>5280</v>
      </c>
      <c r="I67" s="4"/>
      <c r="J67" s="43">
        <f t="shared" si="29"/>
        <v>81.23076923</v>
      </c>
      <c r="K67" s="43">
        <f t="shared" si="30"/>
        <v>203.0769231</v>
      </c>
      <c r="L67" s="43">
        <f t="shared" si="31"/>
        <v>152.3076923</v>
      </c>
    </row>
    <row r="68">
      <c r="A68" s="38">
        <v>47.0</v>
      </c>
      <c r="B68" s="39" t="s">
        <v>324</v>
      </c>
      <c r="C68" s="40" t="s">
        <v>23</v>
      </c>
      <c r="D68" s="98"/>
      <c r="E68" s="41"/>
      <c r="F68" s="27">
        <v>1.0</v>
      </c>
      <c r="G68" s="42">
        <v>4480.0</v>
      </c>
      <c r="H68" s="41">
        <f t="shared" si="28"/>
        <v>4480</v>
      </c>
      <c r="I68" s="4"/>
      <c r="J68" s="43">
        <f t="shared" si="29"/>
        <v>68.92307692</v>
      </c>
      <c r="K68" s="43">
        <f t="shared" si="30"/>
        <v>172.3076923</v>
      </c>
      <c r="L68" s="43">
        <f t="shared" si="31"/>
        <v>129.2307692</v>
      </c>
    </row>
    <row r="69">
      <c r="A69" s="38">
        <v>48.0</v>
      </c>
      <c r="B69" s="39" t="s">
        <v>327</v>
      </c>
      <c r="C69" s="40" t="s">
        <v>23</v>
      </c>
      <c r="D69" s="98"/>
      <c r="E69" s="41"/>
      <c r="F69" s="27">
        <v>1.0</v>
      </c>
      <c r="G69" s="42">
        <v>5280.0</v>
      </c>
      <c r="H69" s="41">
        <f t="shared" si="28"/>
        <v>5280</v>
      </c>
      <c r="I69" s="4"/>
      <c r="J69" s="43">
        <f t="shared" si="29"/>
        <v>81.23076923</v>
      </c>
      <c r="K69" s="43">
        <f t="shared" si="30"/>
        <v>203.0769231</v>
      </c>
      <c r="L69" s="43">
        <f t="shared" si="31"/>
        <v>152.3076923</v>
      </c>
    </row>
    <row r="70">
      <c r="A70" s="38">
        <v>49.0</v>
      </c>
      <c r="B70" s="39" t="s">
        <v>330</v>
      </c>
      <c r="C70" s="40" t="s">
        <v>23</v>
      </c>
      <c r="D70" s="98"/>
      <c r="E70" s="41"/>
      <c r="F70" s="27">
        <v>1.0</v>
      </c>
      <c r="G70" s="42">
        <v>5760.0</v>
      </c>
      <c r="H70" s="41">
        <f t="shared" si="28"/>
        <v>5760</v>
      </c>
      <c r="I70" s="18" t="s">
        <v>377</v>
      </c>
      <c r="J70" s="43">
        <f t="shared" si="29"/>
        <v>88.61538462</v>
      </c>
      <c r="K70" s="43">
        <f t="shared" si="30"/>
        <v>221.5384615</v>
      </c>
      <c r="L70" s="43">
        <f t="shared" si="31"/>
        <v>166.1538462</v>
      </c>
    </row>
    <row r="71">
      <c r="A71" s="38">
        <v>50.0</v>
      </c>
      <c r="B71" s="39" t="s">
        <v>333</v>
      </c>
      <c r="C71" s="40" t="s">
        <v>23</v>
      </c>
      <c r="D71" s="98"/>
      <c r="E71" s="41"/>
      <c r="F71" s="27">
        <v>1.0</v>
      </c>
      <c r="G71" s="42">
        <v>5760.0</v>
      </c>
      <c r="H71" s="41">
        <f t="shared" si="28"/>
        <v>5760</v>
      </c>
      <c r="I71" s="18" t="s">
        <v>377</v>
      </c>
      <c r="J71" s="43">
        <f t="shared" si="29"/>
        <v>88.61538462</v>
      </c>
      <c r="K71" s="43">
        <f t="shared" si="30"/>
        <v>221.5384615</v>
      </c>
      <c r="L71" s="43">
        <f t="shared" si="31"/>
        <v>166.1538462</v>
      </c>
    </row>
    <row r="72">
      <c r="A72" s="38">
        <v>51.0</v>
      </c>
      <c r="B72" s="39" t="s">
        <v>336</v>
      </c>
      <c r="C72" s="40" t="s">
        <v>23</v>
      </c>
      <c r="D72" s="98"/>
      <c r="E72" s="41"/>
      <c r="F72" s="27">
        <v>1.0</v>
      </c>
      <c r="G72" s="42">
        <v>5760.0</v>
      </c>
      <c r="H72" s="41">
        <f t="shared" si="28"/>
        <v>5760</v>
      </c>
      <c r="I72" s="18" t="s">
        <v>377</v>
      </c>
      <c r="J72" s="43">
        <f t="shared" si="29"/>
        <v>88.61538462</v>
      </c>
      <c r="K72" s="43">
        <f t="shared" si="30"/>
        <v>221.5384615</v>
      </c>
      <c r="L72" s="43">
        <f t="shared" si="31"/>
        <v>166.1538462</v>
      </c>
    </row>
    <row r="73">
      <c r="A73" s="38">
        <v>52.0</v>
      </c>
      <c r="B73" s="39" t="s">
        <v>315</v>
      </c>
      <c r="C73" s="40" t="s">
        <v>23</v>
      </c>
      <c r="D73" s="98"/>
      <c r="E73" s="41"/>
      <c r="F73" s="27">
        <v>1.0</v>
      </c>
      <c r="G73" s="42">
        <v>5760.0</v>
      </c>
      <c r="H73" s="41">
        <f t="shared" si="28"/>
        <v>5760</v>
      </c>
      <c r="I73" s="18" t="s">
        <v>377</v>
      </c>
      <c r="J73" s="43">
        <f t="shared" si="29"/>
        <v>88.61538462</v>
      </c>
      <c r="K73" s="43">
        <f t="shared" si="30"/>
        <v>221.5384615</v>
      </c>
      <c r="L73" s="43">
        <f t="shared" si="31"/>
        <v>166.1538462</v>
      </c>
    </row>
    <row r="74">
      <c r="A74" s="38">
        <v>53.0</v>
      </c>
      <c r="B74" s="39" t="s">
        <v>44</v>
      </c>
      <c r="C74" s="40" t="s">
        <v>23</v>
      </c>
      <c r="D74" s="98"/>
      <c r="E74" s="41"/>
      <c r="F74" s="27">
        <v>1.0</v>
      </c>
      <c r="G74" s="42">
        <v>6160.0</v>
      </c>
      <c r="H74" s="41">
        <f t="shared" si="28"/>
        <v>6160</v>
      </c>
      <c r="I74" s="18" t="s">
        <v>377</v>
      </c>
      <c r="J74" s="43">
        <f t="shared" si="29"/>
        <v>94.76923077</v>
      </c>
      <c r="K74" s="43">
        <f t="shared" si="30"/>
        <v>236.9230769</v>
      </c>
      <c r="L74" s="43">
        <f t="shared" si="31"/>
        <v>177.6923077</v>
      </c>
    </row>
    <row r="75">
      <c r="A75" s="38">
        <v>54.0</v>
      </c>
      <c r="B75" s="39" t="s">
        <v>41</v>
      </c>
      <c r="C75" s="40" t="s">
        <v>23</v>
      </c>
      <c r="D75" s="100"/>
      <c r="E75" s="41"/>
      <c r="F75" s="27">
        <v>1.0</v>
      </c>
      <c r="G75" s="42">
        <v>6160.0</v>
      </c>
      <c r="H75" s="41">
        <f t="shared" si="28"/>
        <v>6160</v>
      </c>
      <c r="I75" s="18" t="s">
        <v>377</v>
      </c>
      <c r="J75" s="43">
        <f t="shared" si="29"/>
        <v>94.76923077</v>
      </c>
      <c r="K75" s="43">
        <f t="shared" si="30"/>
        <v>236.9230769</v>
      </c>
      <c r="L75" s="43">
        <f t="shared" si="31"/>
        <v>177.6923077</v>
      </c>
    </row>
    <row r="76">
      <c r="A76" s="38">
        <v>55.0</v>
      </c>
      <c r="B76" s="101" t="s">
        <v>350</v>
      </c>
      <c r="C76" s="40" t="s">
        <v>152</v>
      </c>
      <c r="D76" s="98"/>
      <c r="E76" s="42" t="s">
        <v>348</v>
      </c>
      <c r="F76" s="27">
        <v>1.0</v>
      </c>
      <c r="G76" s="42">
        <v>2240.0</v>
      </c>
      <c r="H76" s="41">
        <f t="shared" si="28"/>
        <v>2240</v>
      </c>
      <c r="J76" s="43">
        <f t="shared" si="29"/>
        <v>34.46153846</v>
      </c>
      <c r="K76" s="43">
        <f t="shared" si="30"/>
        <v>86.15384615</v>
      </c>
      <c r="L76" s="43">
        <f t="shared" si="31"/>
        <v>64.61538462</v>
      </c>
    </row>
    <row r="77">
      <c r="A77" s="38">
        <v>56.0</v>
      </c>
      <c r="B77" s="39" t="s">
        <v>350</v>
      </c>
      <c r="C77" s="40" t="s">
        <v>152</v>
      </c>
      <c r="D77" s="98"/>
      <c r="E77" s="42" t="s">
        <v>162</v>
      </c>
      <c r="F77" s="27">
        <v>1.0</v>
      </c>
      <c r="G77" s="42">
        <v>2240.0</v>
      </c>
      <c r="H77" s="41">
        <f t="shared" si="28"/>
        <v>2240</v>
      </c>
      <c r="J77" s="43">
        <f t="shared" si="29"/>
        <v>34.46153846</v>
      </c>
      <c r="K77" s="43">
        <f t="shared" si="30"/>
        <v>86.15384615</v>
      </c>
      <c r="L77" s="43">
        <f t="shared" si="31"/>
        <v>64.61538462</v>
      </c>
    </row>
    <row r="78" hidden="1">
      <c r="A78" s="38"/>
      <c r="B78" s="40" t="s">
        <v>346</v>
      </c>
      <c r="C78" s="40" t="s">
        <v>152</v>
      </c>
      <c r="D78" s="102"/>
      <c r="E78" s="40" t="s">
        <v>153</v>
      </c>
      <c r="F78" s="50">
        <v>0.0</v>
      </c>
      <c r="G78" s="40">
        <v>2240.0</v>
      </c>
      <c r="H78" s="48">
        <f t="shared" si="28"/>
        <v>0</v>
      </c>
      <c r="J78" s="28">
        <f>G78*0.015</f>
        <v>33.6</v>
      </c>
    </row>
    <row r="79">
      <c r="A79" s="38">
        <v>57.0</v>
      </c>
      <c r="B79" s="103" t="s">
        <v>346</v>
      </c>
      <c r="C79" s="40" t="s">
        <v>152</v>
      </c>
      <c r="D79" s="98"/>
      <c r="E79" s="42" t="s">
        <v>417</v>
      </c>
      <c r="F79" s="27">
        <v>1.0</v>
      </c>
      <c r="G79" s="42">
        <v>2240.0</v>
      </c>
      <c r="H79" s="41">
        <f t="shared" si="28"/>
        <v>2240</v>
      </c>
      <c r="J79" s="43">
        <f t="shared" ref="J79:J80" si="32">G79/65</f>
        <v>34.46153846</v>
      </c>
      <c r="K79" s="43">
        <f t="shared" ref="K79:K80" si="33">(J79*2.5)</f>
        <v>86.15384615</v>
      </c>
      <c r="L79" s="43">
        <f t="shared" ref="L79:L80" si="34">(K79*0.75)</f>
        <v>64.61538462</v>
      </c>
    </row>
    <row r="80">
      <c r="A80" s="38">
        <v>58.0</v>
      </c>
      <c r="B80" s="101" t="s">
        <v>423</v>
      </c>
      <c r="C80" s="42" t="s">
        <v>152</v>
      </c>
      <c r="D80" s="98"/>
      <c r="E80" s="42" t="s">
        <v>153</v>
      </c>
      <c r="F80" s="27">
        <v>1.0</v>
      </c>
      <c r="G80" s="42">
        <v>3040.0</v>
      </c>
      <c r="H80" s="41">
        <f t="shared" si="28"/>
        <v>3040</v>
      </c>
      <c r="J80" s="43">
        <f t="shared" si="32"/>
        <v>46.76923077</v>
      </c>
      <c r="K80" s="43">
        <f t="shared" si="33"/>
        <v>116.9230769</v>
      </c>
      <c r="L80" s="43">
        <f t="shared" si="34"/>
        <v>87.69230769</v>
      </c>
    </row>
    <row r="81" hidden="1">
      <c r="A81" s="38"/>
      <c r="B81" s="40" t="s">
        <v>423</v>
      </c>
      <c r="C81" s="40" t="s">
        <v>152</v>
      </c>
      <c r="D81" s="102"/>
      <c r="E81" s="40" t="s">
        <v>162</v>
      </c>
      <c r="F81" s="50">
        <v>0.0</v>
      </c>
      <c r="G81" s="40">
        <v>3040.0</v>
      </c>
      <c r="H81" s="48">
        <f t="shared" si="28"/>
        <v>0</v>
      </c>
      <c r="J81" s="28">
        <f>G81*0.015</f>
        <v>45.6</v>
      </c>
    </row>
    <row r="82">
      <c r="A82" s="38">
        <v>59.0</v>
      </c>
      <c r="B82" s="39" t="s">
        <v>363</v>
      </c>
      <c r="C82" s="40" t="s">
        <v>152</v>
      </c>
      <c r="D82" s="98"/>
      <c r="E82" s="42" t="s">
        <v>153</v>
      </c>
      <c r="F82" s="27">
        <v>1.0</v>
      </c>
      <c r="G82" s="42">
        <v>3040.0</v>
      </c>
      <c r="H82" s="41">
        <f t="shared" si="28"/>
        <v>3040</v>
      </c>
      <c r="J82" s="43">
        <f>G82/65</f>
        <v>46.76923077</v>
      </c>
      <c r="K82" s="43">
        <f>(J82*2.5)</f>
        <v>116.9230769</v>
      </c>
      <c r="L82" s="43">
        <f>(K82*0.75)</f>
        <v>87.69230769</v>
      </c>
    </row>
    <row r="83" hidden="1">
      <c r="A83" s="38"/>
      <c r="B83" s="40" t="s">
        <v>363</v>
      </c>
      <c r="C83" s="40" t="s">
        <v>152</v>
      </c>
      <c r="D83" s="102"/>
      <c r="E83" s="40" t="s">
        <v>162</v>
      </c>
      <c r="F83" s="50">
        <v>0.0</v>
      </c>
      <c r="G83" s="40">
        <v>3040.0</v>
      </c>
      <c r="H83" s="48">
        <f t="shared" si="28"/>
        <v>0</v>
      </c>
      <c r="J83" s="28">
        <f>G83*0.015</f>
        <v>45.6</v>
      </c>
    </row>
    <row r="84">
      <c r="A84" s="38">
        <v>60.0</v>
      </c>
      <c r="B84" s="39" t="s">
        <v>366</v>
      </c>
      <c r="C84" s="40" t="s">
        <v>152</v>
      </c>
      <c r="D84" s="98"/>
      <c r="E84" s="42" t="s">
        <v>153</v>
      </c>
      <c r="F84" s="27">
        <v>1.0</v>
      </c>
      <c r="G84" s="42">
        <v>3992.0</v>
      </c>
      <c r="H84" s="41">
        <f t="shared" si="28"/>
        <v>3992</v>
      </c>
      <c r="J84" s="43">
        <f t="shared" ref="J84:J102" si="35">G84/65</f>
        <v>61.41538462</v>
      </c>
      <c r="K84" s="43">
        <f t="shared" ref="K84:K102" si="36">(J84*2.5)</f>
        <v>153.5384615</v>
      </c>
      <c r="L84" s="43">
        <f t="shared" ref="L84:L102" si="37">(K84*0.75)</f>
        <v>115.1538462</v>
      </c>
    </row>
    <row r="85">
      <c r="A85" s="38">
        <v>61.0</v>
      </c>
      <c r="B85" s="39" t="s">
        <v>366</v>
      </c>
      <c r="C85" s="40" t="s">
        <v>152</v>
      </c>
      <c r="D85" s="98"/>
      <c r="E85" s="42" t="s">
        <v>162</v>
      </c>
      <c r="F85" s="27">
        <v>1.0</v>
      </c>
      <c r="G85" s="42">
        <v>3992.0</v>
      </c>
      <c r="H85" s="41">
        <f t="shared" si="28"/>
        <v>3992</v>
      </c>
      <c r="J85" s="43">
        <f t="shared" si="35"/>
        <v>61.41538462</v>
      </c>
      <c r="K85" s="43">
        <f t="shared" si="36"/>
        <v>153.5384615</v>
      </c>
      <c r="L85" s="43">
        <f t="shared" si="37"/>
        <v>115.1538462</v>
      </c>
    </row>
    <row r="86">
      <c r="A86" s="38">
        <v>62.0</v>
      </c>
      <c r="B86" s="39" t="s">
        <v>371</v>
      </c>
      <c r="C86" s="40" t="s">
        <v>152</v>
      </c>
      <c r="D86" s="98"/>
      <c r="E86" s="42" t="s">
        <v>153</v>
      </c>
      <c r="F86" s="27">
        <v>1.0</v>
      </c>
      <c r="G86" s="42">
        <v>3040.0</v>
      </c>
      <c r="H86" s="41">
        <f t="shared" si="28"/>
        <v>3040</v>
      </c>
      <c r="J86" s="43">
        <f t="shared" si="35"/>
        <v>46.76923077</v>
      </c>
      <c r="K86" s="43">
        <f t="shared" si="36"/>
        <v>116.9230769</v>
      </c>
      <c r="L86" s="43">
        <f t="shared" si="37"/>
        <v>87.69230769</v>
      </c>
    </row>
    <row r="87">
      <c r="A87" s="38">
        <v>63.0</v>
      </c>
      <c r="B87" s="39" t="s">
        <v>371</v>
      </c>
      <c r="C87" s="40" t="s">
        <v>152</v>
      </c>
      <c r="D87" s="98"/>
      <c r="E87" s="42" t="s">
        <v>162</v>
      </c>
      <c r="F87" s="27">
        <v>1.0</v>
      </c>
      <c r="G87" s="42">
        <v>3040.0</v>
      </c>
      <c r="H87" s="41">
        <f t="shared" si="28"/>
        <v>3040</v>
      </c>
      <c r="J87" s="43">
        <f t="shared" si="35"/>
        <v>46.76923077</v>
      </c>
      <c r="K87" s="43">
        <f t="shared" si="36"/>
        <v>116.9230769</v>
      </c>
      <c r="L87" s="43">
        <f t="shared" si="37"/>
        <v>87.69230769</v>
      </c>
    </row>
    <row r="88">
      <c r="A88" s="38">
        <v>64.0</v>
      </c>
      <c r="B88" s="119" t="s">
        <v>379</v>
      </c>
      <c r="C88" s="120" t="s">
        <v>152</v>
      </c>
      <c r="D88" s="121" t="s">
        <v>380</v>
      </c>
      <c r="E88" s="121" t="s">
        <v>153</v>
      </c>
      <c r="F88" s="121">
        <v>1.0</v>
      </c>
      <c r="G88" s="121">
        <v>3840.0</v>
      </c>
      <c r="H88" s="41">
        <f t="shared" si="28"/>
        <v>3840</v>
      </c>
      <c r="J88" s="43">
        <f t="shared" si="35"/>
        <v>59.07692308</v>
      </c>
      <c r="K88" s="43">
        <f t="shared" si="36"/>
        <v>147.6923077</v>
      </c>
      <c r="L88" s="43">
        <f t="shared" si="37"/>
        <v>110.7692308</v>
      </c>
    </row>
    <row r="89">
      <c r="A89" s="38">
        <v>65.0</v>
      </c>
      <c r="B89" s="119" t="s">
        <v>379</v>
      </c>
      <c r="C89" s="120" t="s">
        <v>152</v>
      </c>
      <c r="D89" s="121" t="s">
        <v>382</v>
      </c>
      <c r="E89" s="121" t="s">
        <v>162</v>
      </c>
      <c r="F89" s="121">
        <v>1.0</v>
      </c>
      <c r="G89" s="121">
        <v>3840.0</v>
      </c>
      <c r="H89" s="41">
        <f t="shared" si="28"/>
        <v>3840</v>
      </c>
      <c r="J89" s="43">
        <f t="shared" si="35"/>
        <v>59.07692308</v>
      </c>
      <c r="K89" s="43">
        <f t="shared" si="36"/>
        <v>147.6923077</v>
      </c>
      <c r="L89" s="43">
        <f t="shared" si="37"/>
        <v>110.7692308</v>
      </c>
    </row>
    <row r="90">
      <c r="A90" s="38">
        <v>66.0</v>
      </c>
      <c r="B90" s="119" t="s">
        <v>231</v>
      </c>
      <c r="C90" s="120" t="s">
        <v>152</v>
      </c>
      <c r="D90" s="121" t="s">
        <v>384</v>
      </c>
      <c r="E90" s="121" t="s">
        <v>153</v>
      </c>
      <c r="F90" s="121">
        <v>1.0</v>
      </c>
      <c r="G90" s="121">
        <v>4160.0</v>
      </c>
      <c r="H90" s="41">
        <f t="shared" si="28"/>
        <v>4160</v>
      </c>
      <c r="J90" s="43">
        <f t="shared" si="35"/>
        <v>64</v>
      </c>
      <c r="K90" s="43">
        <f t="shared" si="36"/>
        <v>160</v>
      </c>
      <c r="L90" s="43">
        <f t="shared" si="37"/>
        <v>120</v>
      </c>
    </row>
    <row r="91">
      <c r="A91" s="38">
        <v>67.0</v>
      </c>
      <c r="B91" s="119" t="s">
        <v>231</v>
      </c>
      <c r="C91" s="120" t="s">
        <v>152</v>
      </c>
      <c r="D91" s="121" t="s">
        <v>386</v>
      </c>
      <c r="E91" s="121" t="s">
        <v>162</v>
      </c>
      <c r="F91" s="121">
        <v>1.0</v>
      </c>
      <c r="G91" s="121">
        <v>4160.0</v>
      </c>
      <c r="H91" s="41">
        <f t="shared" si="28"/>
        <v>4160</v>
      </c>
      <c r="J91" s="43">
        <f t="shared" si="35"/>
        <v>64</v>
      </c>
      <c r="K91" s="43">
        <f t="shared" si="36"/>
        <v>160</v>
      </c>
      <c r="L91" s="43">
        <f t="shared" si="37"/>
        <v>120</v>
      </c>
    </row>
    <row r="92">
      <c r="A92" s="38">
        <v>68.0</v>
      </c>
      <c r="B92" s="119" t="s">
        <v>388</v>
      </c>
      <c r="C92" s="120" t="s">
        <v>152</v>
      </c>
      <c r="D92" s="121" t="s">
        <v>389</v>
      </c>
      <c r="E92" s="121" t="s">
        <v>153</v>
      </c>
      <c r="F92" s="121">
        <v>1.0</v>
      </c>
      <c r="G92" s="121">
        <v>3120.0</v>
      </c>
      <c r="H92" s="41">
        <f t="shared" si="28"/>
        <v>3120</v>
      </c>
      <c r="J92" s="43">
        <f t="shared" si="35"/>
        <v>48</v>
      </c>
      <c r="K92" s="43">
        <f t="shared" si="36"/>
        <v>120</v>
      </c>
      <c r="L92" s="43">
        <f t="shared" si="37"/>
        <v>90</v>
      </c>
    </row>
    <row r="93">
      <c r="A93" s="38">
        <v>69.0</v>
      </c>
      <c r="B93" s="119" t="s">
        <v>388</v>
      </c>
      <c r="C93" s="120" t="s">
        <v>152</v>
      </c>
      <c r="D93" s="121" t="s">
        <v>391</v>
      </c>
      <c r="E93" s="121" t="s">
        <v>162</v>
      </c>
      <c r="F93" s="121">
        <v>1.0</v>
      </c>
      <c r="G93" s="121">
        <v>3120.0</v>
      </c>
      <c r="H93" s="41">
        <f t="shared" si="28"/>
        <v>3120</v>
      </c>
      <c r="J93" s="43">
        <f t="shared" si="35"/>
        <v>48</v>
      </c>
      <c r="K93" s="43">
        <f t="shared" si="36"/>
        <v>120</v>
      </c>
      <c r="L93" s="43">
        <f t="shared" si="37"/>
        <v>90</v>
      </c>
    </row>
    <row r="94">
      <c r="A94" s="38">
        <v>70.0</v>
      </c>
      <c r="B94" s="119" t="s">
        <v>393</v>
      </c>
      <c r="C94" s="120" t="s">
        <v>152</v>
      </c>
      <c r="D94" s="121" t="s">
        <v>394</v>
      </c>
      <c r="E94" s="121" t="s">
        <v>153</v>
      </c>
      <c r="F94" s="121">
        <v>1.0</v>
      </c>
      <c r="G94" s="121">
        <v>3920.0</v>
      </c>
      <c r="H94" s="41">
        <f t="shared" si="28"/>
        <v>3920</v>
      </c>
      <c r="J94" s="43">
        <f t="shared" si="35"/>
        <v>60.30769231</v>
      </c>
      <c r="K94" s="43">
        <f t="shared" si="36"/>
        <v>150.7692308</v>
      </c>
      <c r="L94" s="43">
        <f t="shared" si="37"/>
        <v>113.0769231</v>
      </c>
    </row>
    <row r="95">
      <c r="A95" s="38">
        <v>71.0</v>
      </c>
      <c r="B95" s="119" t="s">
        <v>393</v>
      </c>
      <c r="C95" s="120" t="s">
        <v>152</v>
      </c>
      <c r="D95" s="121" t="s">
        <v>396</v>
      </c>
      <c r="E95" s="121" t="s">
        <v>162</v>
      </c>
      <c r="F95" s="121">
        <v>1.0</v>
      </c>
      <c r="G95" s="121">
        <v>3920.0</v>
      </c>
      <c r="H95" s="41">
        <f t="shared" si="28"/>
        <v>3920</v>
      </c>
      <c r="J95" s="43">
        <f t="shared" si="35"/>
        <v>60.30769231</v>
      </c>
      <c r="K95" s="43">
        <f t="shared" si="36"/>
        <v>150.7692308</v>
      </c>
      <c r="L95" s="43">
        <f t="shared" si="37"/>
        <v>113.0769231</v>
      </c>
    </row>
    <row r="96">
      <c r="A96" s="38">
        <v>72.0</v>
      </c>
      <c r="B96" s="119" t="s">
        <v>399</v>
      </c>
      <c r="C96" s="120" t="s">
        <v>152</v>
      </c>
      <c r="D96" s="121" t="s">
        <v>400</v>
      </c>
      <c r="E96" s="121" t="s">
        <v>162</v>
      </c>
      <c r="F96" s="121">
        <v>1.0</v>
      </c>
      <c r="G96" s="121">
        <v>3840.0</v>
      </c>
      <c r="H96" s="41">
        <f t="shared" si="28"/>
        <v>3840</v>
      </c>
      <c r="J96" s="43">
        <f t="shared" si="35"/>
        <v>59.07692308</v>
      </c>
      <c r="K96" s="43">
        <f t="shared" si="36"/>
        <v>147.6923077</v>
      </c>
      <c r="L96" s="43">
        <f t="shared" si="37"/>
        <v>110.7692308</v>
      </c>
    </row>
    <row r="97">
      <c r="A97" s="38">
        <v>73.0</v>
      </c>
      <c r="B97" s="119" t="s">
        <v>402</v>
      </c>
      <c r="C97" s="120" t="s">
        <v>152</v>
      </c>
      <c r="D97" s="121" t="s">
        <v>403</v>
      </c>
      <c r="E97" s="121" t="s">
        <v>153</v>
      </c>
      <c r="F97" s="121">
        <v>1.0</v>
      </c>
      <c r="G97" s="121">
        <v>3840.0</v>
      </c>
      <c r="H97" s="41">
        <f t="shared" si="28"/>
        <v>3840</v>
      </c>
      <c r="J97" s="43">
        <f t="shared" si="35"/>
        <v>59.07692308</v>
      </c>
      <c r="K97" s="43">
        <f t="shared" si="36"/>
        <v>147.6923077</v>
      </c>
      <c r="L97" s="43">
        <f t="shared" si="37"/>
        <v>110.7692308</v>
      </c>
    </row>
    <row r="98">
      <c r="A98" s="38">
        <v>74.0</v>
      </c>
      <c r="B98" s="119" t="s">
        <v>402</v>
      </c>
      <c r="C98" s="120" t="s">
        <v>152</v>
      </c>
      <c r="D98" s="121" t="s">
        <v>405</v>
      </c>
      <c r="E98" s="121" t="s">
        <v>162</v>
      </c>
      <c r="F98" s="121">
        <v>1.0</v>
      </c>
      <c r="G98" s="121">
        <v>3840.0</v>
      </c>
      <c r="H98" s="41">
        <f t="shared" si="28"/>
        <v>3840</v>
      </c>
      <c r="J98" s="43">
        <f t="shared" si="35"/>
        <v>59.07692308</v>
      </c>
      <c r="K98" s="43">
        <f t="shared" si="36"/>
        <v>147.6923077</v>
      </c>
      <c r="L98" s="43">
        <f t="shared" si="37"/>
        <v>110.7692308</v>
      </c>
    </row>
    <row r="99">
      <c r="A99" s="38">
        <v>75.0</v>
      </c>
      <c r="B99" s="119" t="s">
        <v>407</v>
      </c>
      <c r="C99" s="120" t="s">
        <v>152</v>
      </c>
      <c r="D99" s="121" t="s">
        <v>408</v>
      </c>
      <c r="E99" s="121" t="s">
        <v>153</v>
      </c>
      <c r="F99" s="121">
        <v>1.0</v>
      </c>
      <c r="G99" s="121">
        <v>3840.0</v>
      </c>
      <c r="H99" s="41">
        <f t="shared" si="28"/>
        <v>3840</v>
      </c>
      <c r="J99" s="43">
        <f t="shared" si="35"/>
        <v>59.07692308</v>
      </c>
      <c r="K99" s="43">
        <f t="shared" si="36"/>
        <v>147.6923077</v>
      </c>
      <c r="L99" s="43">
        <f t="shared" si="37"/>
        <v>110.7692308</v>
      </c>
    </row>
    <row r="100">
      <c r="A100" s="38">
        <v>76.0</v>
      </c>
      <c r="B100" s="119" t="s">
        <v>407</v>
      </c>
      <c r="C100" s="120" t="s">
        <v>152</v>
      </c>
      <c r="D100" s="121" t="s">
        <v>410</v>
      </c>
      <c r="E100" s="121" t="s">
        <v>162</v>
      </c>
      <c r="F100" s="121">
        <v>1.0</v>
      </c>
      <c r="G100" s="121">
        <v>3840.0</v>
      </c>
      <c r="H100" s="41">
        <f t="shared" si="28"/>
        <v>3840</v>
      </c>
      <c r="J100" s="43">
        <f t="shared" si="35"/>
        <v>59.07692308</v>
      </c>
      <c r="K100" s="43">
        <f t="shared" si="36"/>
        <v>147.6923077</v>
      </c>
      <c r="L100" s="43">
        <f t="shared" si="37"/>
        <v>110.7692308</v>
      </c>
    </row>
    <row r="101">
      <c r="A101" s="38">
        <v>77.0</v>
      </c>
      <c r="B101" s="119" t="s">
        <v>21</v>
      </c>
      <c r="C101" s="122" t="s">
        <v>23</v>
      </c>
      <c r="D101" s="121" t="s">
        <v>88</v>
      </c>
      <c r="E101" s="123"/>
      <c r="F101" s="121">
        <v>1.0</v>
      </c>
      <c r="G101" s="121">
        <v>4480.0</v>
      </c>
      <c r="H101" s="41">
        <f t="shared" si="28"/>
        <v>4480</v>
      </c>
      <c r="J101" s="43">
        <f t="shared" si="35"/>
        <v>68.92307692</v>
      </c>
      <c r="K101" s="43">
        <f t="shared" si="36"/>
        <v>172.3076923</v>
      </c>
      <c r="L101" s="43">
        <f t="shared" si="37"/>
        <v>129.2307692</v>
      </c>
    </row>
    <row r="102">
      <c r="A102" s="124">
        <v>78.0</v>
      </c>
      <c r="B102" s="125" t="s">
        <v>27</v>
      </c>
      <c r="C102" s="126" t="s">
        <v>23</v>
      </c>
      <c r="D102" s="121" t="s">
        <v>96</v>
      </c>
      <c r="E102" s="123"/>
      <c r="F102" s="121">
        <v>1.0</v>
      </c>
      <c r="G102" s="121">
        <v>4480.0</v>
      </c>
      <c r="H102" s="41">
        <f t="shared" si="28"/>
        <v>4480</v>
      </c>
      <c r="J102" s="43">
        <f t="shared" si="35"/>
        <v>68.92307692</v>
      </c>
      <c r="K102" s="43">
        <f t="shared" si="36"/>
        <v>172.3076923</v>
      </c>
      <c r="L102" s="43">
        <f t="shared" si="37"/>
        <v>129.2307692</v>
      </c>
    </row>
    <row r="103">
      <c r="B103" s="2"/>
    </row>
    <row r="104">
      <c r="B104" s="2"/>
    </row>
    <row r="105">
      <c r="B105" s="2"/>
    </row>
    <row r="106">
      <c r="B106" s="2"/>
      <c r="J106" s="43">
        <v>5329.0</v>
      </c>
      <c r="K106" s="43">
        <v>132323.0</v>
      </c>
      <c r="L106" s="43">
        <v>9991.0</v>
      </c>
    </row>
    <row r="107">
      <c r="B107" s="2"/>
    </row>
    <row r="108">
      <c r="B108" s="2"/>
    </row>
    <row r="109">
      <c r="B109" s="2"/>
    </row>
    <row r="110">
      <c r="B110" s="2"/>
    </row>
    <row r="111">
      <c r="A111" s="40"/>
      <c r="B111" s="40"/>
      <c r="C111" s="40" t="s">
        <v>346</v>
      </c>
      <c r="D111" s="40" t="s">
        <v>152</v>
      </c>
      <c r="E111" s="102"/>
      <c r="F111" s="40" t="s">
        <v>153</v>
      </c>
      <c r="G111" s="50">
        <v>0.0</v>
      </c>
      <c r="H111" s="40">
        <v>2240.0</v>
      </c>
      <c r="I111" s="48">
        <f t="shared" ref="I111:I129" si="38">G111*H111</f>
        <v>0</v>
      </c>
      <c r="J111" s="28">
        <f t="shared" ref="J111:J129" si="39">H111*0.015</f>
        <v>33.6</v>
      </c>
    </row>
    <row r="112">
      <c r="A112" s="40"/>
      <c r="B112" s="40"/>
      <c r="C112" s="40" t="s">
        <v>423</v>
      </c>
      <c r="D112" s="40" t="s">
        <v>152</v>
      </c>
      <c r="E112" s="102"/>
      <c r="F112" s="40" t="s">
        <v>162</v>
      </c>
      <c r="G112" s="50">
        <v>0.0</v>
      </c>
      <c r="H112" s="40">
        <v>3040.0</v>
      </c>
      <c r="I112" s="48">
        <f t="shared" si="38"/>
        <v>0</v>
      </c>
      <c r="J112" s="28">
        <f t="shared" si="39"/>
        <v>45.6</v>
      </c>
    </row>
    <row r="113">
      <c r="A113" s="40"/>
      <c r="B113" s="40"/>
      <c r="C113" s="40" t="s">
        <v>363</v>
      </c>
      <c r="D113" s="40" t="s">
        <v>152</v>
      </c>
      <c r="E113" s="102"/>
      <c r="F113" s="40" t="s">
        <v>162</v>
      </c>
      <c r="G113" s="50">
        <v>0.0</v>
      </c>
      <c r="H113" s="40">
        <v>3040.0</v>
      </c>
      <c r="I113" s="48">
        <f t="shared" si="38"/>
        <v>0</v>
      </c>
      <c r="J113" s="28">
        <f t="shared" si="39"/>
        <v>45.6</v>
      </c>
    </row>
    <row r="114">
      <c r="A114" s="40"/>
      <c r="B114" s="40"/>
      <c r="C114" s="40" t="s">
        <v>194</v>
      </c>
      <c r="D114" s="40" t="s">
        <v>152</v>
      </c>
      <c r="E114" s="50"/>
      <c r="F114" s="40" t="s">
        <v>153</v>
      </c>
      <c r="G114" s="50">
        <v>0.0</v>
      </c>
      <c r="H114" s="40">
        <v>4160.0</v>
      </c>
      <c r="I114" s="48">
        <f t="shared" si="38"/>
        <v>0</v>
      </c>
      <c r="J114" s="28">
        <f t="shared" si="39"/>
        <v>62.4</v>
      </c>
    </row>
    <row r="115">
      <c r="A115" s="40"/>
      <c r="B115" s="40"/>
      <c r="C115" s="40" t="s">
        <v>200</v>
      </c>
      <c r="D115" s="40" t="s">
        <v>152</v>
      </c>
      <c r="E115" s="50"/>
      <c r="F115" s="40" t="s">
        <v>153</v>
      </c>
      <c r="G115" s="50">
        <v>0.0</v>
      </c>
      <c r="H115" s="40">
        <v>2240.0</v>
      </c>
      <c r="I115" s="48">
        <f t="shared" si="38"/>
        <v>0</v>
      </c>
      <c r="J115" s="28">
        <f t="shared" si="39"/>
        <v>33.6</v>
      </c>
    </row>
    <row r="116">
      <c r="A116" s="40"/>
      <c r="B116" s="40"/>
      <c r="C116" s="40" t="s">
        <v>200</v>
      </c>
      <c r="D116" s="40" t="s">
        <v>152</v>
      </c>
      <c r="E116" s="50"/>
      <c r="F116" s="40" t="s">
        <v>162</v>
      </c>
      <c r="G116" s="50">
        <v>0.0</v>
      </c>
      <c r="H116" s="40">
        <v>2240.0</v>
      </c>
      <c r="I116" s="48">
        <f t="shared" si="38"/>
        <v>0</v>
      </c>
      <c r="J116" s="28">
        <f t="shared" si="39"/>
        <v>33.6</v>
      </c>
    </row>
    <row r="117">
      <c r="A117" s="40"/>
      <c r="B117" s="40"/>
      <c r="C117" s="40" t="s">
        <v>209</v>
      </c>
      <c r="D117" s="40" t="s">
        <v>152</v>
      </c>
      <c r="E117" s="50"/>
      <c r="F117" s="40" t="s">
        <v>162</v>
      </c>
      <c r="G117" s="50">
        <v>0.0</v>
      </c>
      <c r="H117" s="40">
        <v>3680.0</v>
      </c>
      <c r="I117" s="48">
        <f t="shared" si="38"/>
        <v>0</v>
      </c>
      <c r="J117" s="28">
        <f t="shared" si="39"/>
        <v>55.2</v>
      </c>
    </row>
    <row r="118">
      <c r="A118" s="40"/>
      <c r="B118" s="40"/>
      <c r="C118" s="40" t="s">
        <v>215</v>
      </c>
      <c r="D118" s="40" t="s">
        <v>152</v>
      </c>
      <c r="E118" s="50"/>
      <c r="F118" s="40" t="s">
        <v>162</v>
      </c>
      <c r="G118" s="50">
        <v>0.0</v>
      </c>
      <c r="H118" s="40">
        <v>3680.0</v>
      </c>
      <c r="I118" s="48">
        <f t="shared" si="38"/>
        <v>0</v>
      </c>
      <c r="J118" s="28">
        <f t="shared" si="39"/>
        <v>55.2</v>
      </c>
    </row>
    <row r="119">
      <c r="A119" s="40"/>
      <c r="B119" s="40"/>
      <c r="C119" s="40" t="s">
        <v>174</v>
      </c>
      <c r="D119" s="40" t="s">
        <v>152</v>
      </c>
      <c r="E119" s="50"/>
      <c r="F119" s="40" t="s">
        <v>162</v>
      </c>
      <c r="G119" s="50">
        <v>0.0</v>
      </c>
      <c r="H119" s="40">
        <v>5328.0</v>
      </c>
      <c r="I119" s="48">
        <f t="shared" si="38"/>
        <v>0</v>
      </c>
      <c r="J119" s="28">
        <f t="shared" si="39"/>
        <v>79.92</v>
      </c>
    </row>
    <row r="120">
      <c r="A120" s="40"/>
      <c r="B120" s="40"/>
      <c r="C120" s="40" t="s">
        <v>90</v>
      </c>
      <c r="D120" s="40" t="s">
        <v>23</v>
      </c>
      <c r="E120" s="47"/>
      <c r="F120" s="48"/>
      <c r="G120" s="50">
        <v>0.0</v>
      </c>
      <c r="H120" s="40">
        <v>5280.0</v>
      </c>
      <c r="I120" s="48">
        <f t="shared" si="38"/>
        <v>0</v>
      </c>
      <c r="J120" s="28">
        <f t="shared" si="39"/>
        <v>79.2</v>
      </c>
    </row>
    <row r="121">
      <c r="A121" s="40"/>
      <c r="B121" s="40"/>
      <c r="C121" s="40" t="s">
        <v>84</v>
      </c>
      <c r="D121" s="40" t="s">
        <v>23</v>
      </c>
      <c r="E121" s="50"/>
      <c r="F121" s="48"/>
      <c r="G121" s="50">
        <v>0.0</v>
      </c>
      <c r="H121" s="40">
        <v>4960.0</v>
      </c>
      <c r="I121" s="48">
        <f t="shared" si="38"/>
        <v>0</v>
      </c>
      <c r="J121" s="28">
        <f t="shared" si="39"/>
        <v>74.4</v>
      </c>
    </row>
    <row r="122">
      <c r="A122" s="40"/>
      <c r="B122" s="40"/>
      <c r="C122" s="40" t="s">
        <v>129</v>
      </c>
      <c r="D122" s="40" t="s">
        <v>23</v>
      </c>
      <c r="E122" s="50"/>
      <c r="F122" s="48"/>
      <c r="G122" s="50">
        <v>0.0</v>
      </c>
      <c r="H122" s="40">
        <v>4960.0</v>
      </c>
      <c r="I122" s="48">
        <f t="shared" si="38"/>
        <v>0</v>
      </c>
      <c r="J122" s="28">
        <f t="shared" si="39"/>
        <v>74.4</v>
      </c>
    </row>
    <row r="123">
      <c r="A123" s="40"/>
      <c r="B123" s="40"/>
      <c r="C123" s="40" t="s">
        <v>151</v>
      </c>
      <c r="D123" s="40" t="s">
        <v>152</v>
      </c>
      <c r="E123" s="50"/>
      <c r="F123" s="40" t="s">
        <v>153</v>
      </c>
      <c r="G123" s="50">
        <v>0.0</v>
      </c>
      <c r="H123" s="40">
        <v>5440.0</v>
      </c>
      <c r="I123" s="48">
        <f t="shared" si="38"/>
        <v>0</v>
      </c>
      <c r="J123" s="28">
        <f t="shared" si="39"/>
        <v>81.6</v>
      </c>
    </row>
    <row r="124">
      <c r="A124" s="40"/>
      <c r="B124" s="40"/>
      <c r="C124" s="40" t="s">
        <v>261</v>
      </c>
      <c r="D124" s="40" t="s">
        <v>23</v>
      </c>
      <c r="E124" s="50"/>
      <c r="F124" s="77"/>
      <c r="G124" s="50">
        <v>0.0</v>
      </c>
      <c r="H124" s="40">
        <v>4160.0</v>
      </c>
      <c r="I124" s="48">
        <f t="shared" si="38"/>
        <v>0</v>
      </c>
      <c r="J124" s="28">
        <f t="shared" si="39"/>
        <v>62.4</v>
      </c>
    </row>
    <row r="125">
      <c r="A125" s="40"/>
      <c r="B125" s="40"/>
      <c r="C125" s="40" t="s">
        <v>288</v>
      </c>
      <c r="D125" s="40" t="s">
        <v>23</v>
      </c>
      <c r="E125" s="50"/>
      <c r="F125" s="77"/>
      <c r="G125" s="50">
        <v>0.0</v>
      </c>
      <c r="H125" s="40">
        <v>4640.0</v>
      </c>
      <c r="I125" s="48">
        <f t="shared" si="38"/>
        <v>0</v>
      </c>
      <c r="J125" s="28">
        <f t="shared" si="39"/>
        <v>69.6</v>
      </c>
    </row>
    <row r="126">
      <c r="A126" s="40"/>
      <c r="B126" s="40"/>
      <c r="C126" s="40" t="s">
        <v>304</v>
      </c>
      <c r="D126" s="40" t="s">
        <v>23</v>
      </c>
      <c r="E126" s="50"/>
      <c r="F126" s="77"/>
      <c r="G126" s="50">
        <v>0.0</v>
      </c>
      <c r="H126" s="40">
        <v>4800.0</v>
      </c>
      <c r="I126" s="48">
        <f t="shared" si="38"/>
        <v>0</v>
      </c>
      <c r="J126" s="28">
        <f t="shared" si="39"/>
        <v>72</v>
      </c>
    </row>
    <row r="127">
      <c r="A127" s="40"/>
      <c r="B127" s="40"/>
      <c r="C127" s="40" t="s">
        <v>340</v>
      </c>
      <c r="D127" s="40" t="s">
        <v>23</v>
      </c>
      <c r="E127" s="50"/>
      <c r="F127" s="77"/>
      <c r="G127" s="50">
        <v>0.0</v>
      </c>
      <c r="H127" s="40">
        <v>3984.0</v>
      </c>
      <c r="I127" s="48">
        <f t="shared" si="38"/>
        <v>0</v>
      </c>
      <c r="J127" s="28">
        <f t="shared" si="39"/>
        <v>59.76</v>
      </c>
    </row>
    <row r="128">
      <c r="A128" s="40"/>
      <c r="B128" s="40"/>
      <c r="C128" s="40" t="s">
        <v>354</v>
      </c>
      <c r="D128" s="40" t="s">
        <v>23</v>
      </c>
      <c r="E128" s="50"/>
      <c r="F128" s="77"/>
      <c r="G128" s="50">
        <v>0.0</v>
      </c>
      <c r="H128" s="40">
        <v>4480.0</v>
      </c>
      <c r="I128" s="48">
        <f t="shared" si="38"/>
        <v>0</v>
      </c>
      <c r="J128" s="28">
        <f t="shared" si="39"/>
        <v>67.2</v>
      </c>
    </row>
    <row r="129">
      <c r="A129" s="40"/>
      <c r="B129" s="40"/>
      <c r="C129" s="40" t="s">
        <v>195</v>
      </c>
      <c r="D129" s="40" t="s">
        <v>23</v>
      </c>
      <c r="E129" s="50"/>
      <c r="F129" s="77"/>
      <c r="G129" s="50">
        <v>0.0</v>
      </c>
      <c r="H129" s="40">
        <v>4480.0</v>
      </c>
      <c r="I129" s="48">
        <f t="shared" si="38"/>
        <v>0</v>
      </c>
      <c r="J129" s="28">
        <f t="shared" si="39"/>
        <v>67.2</v>
      </c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</sheetData>
  <autoFilter ref="$B$4:$AA$104">
    <filterColumn colId="4">
      <filters blank="1">
        <filter val="1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8.13"/>
    <col customWidth="1" min="4" max="4" width="14.88"/>
    <col customWidth="1" min="10" max="10" width="13.75"/>
    <col customWidth="1" min="11" max="11" width="15.88"/>
    <col customWidth="1" min="12" max="12" width="9.0"/>
    <col customWidth="1" min="13" max="13" width="10.13"/>
  </cols>
  <sheetData>
    <row r="1">
      <c r="A1" s="3" t="s">
        <v>0</v>
      </c>
      <c r="B1" s="7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3" t="s">
        <v>6</v>
      </c>
      <c r="H1" s="12" t="s">
        <v>7</v>
      </c>
      <c r="I1" s="10" t="s">
        <v>8</v>
      </c>
      <c r="J1" s="14" t="s">
        <v>10</v>
      </c>
      <c r="K1" s="14" t="s">
        <v>15</v>
      </c>
      <c r="L1" s="14" t="s">
        <v>17</v>
      </c>
      <c r="M1" s="14" t="s">
        <v>18</v>
      </c>
      <c r="N1" s="14" t="s">
        <v>19</v>
      </c>
      <c r="O1" s="14" t="s">
        <v>20</v>
      </c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>
      <c r="A2" s="20">
        <v>1.0</v>
      </c>
      <c r="B2" s="3" t="s">
        <v>24</v>
      </c>
      <c r="C2" s="23" t="s">
        <v>25</v>
      </c>
      <c r="D2" s="20" t="s">
        <v>26</v>
      </c>
      <c r="E2" s="25"/>
      <c r="F2" s="27">
        <v>1.0</v>
      </c>
      <c r="G2" s="27">
        <v>3824.0</v>
      </c>
      <c r="H2" s="25">
        <f t="shared" ref="H2:H58" si="1">F2*G2</f>
        <v>3824</v>
      </c>
      <c r="I2" s="20" t="s">
        <v>23</v>
      </c>
      <c r="J2" s="33">
        <f t="shared" ref="J2:J58" si="2">G2/65</f>
        <v>58.83076923</v>
      </c>
      <c r="K2" s="33">
        <f t="shared" ref="K2:K58" si="3">(J2*2.5)</f>
        <v>147.0769231</v>
      </c>
      <c r="L2" s="33">
        <f t="shared" ref="L2:L58" si="4">(K2*0.9)</f>
        <v>132.3692308</v>
      </c>
      <c r="M2" s="34"/>
      <c r="N2" s="34"/>
      <c r="O2" s="34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>
      <c r="A3" s="20">
        <v>2.0</v>
      </c>
      <c r="B3" s="23" t="s">
        <v>42</v>
      </c>
      <c r="C3" s="23" t="s">
        <v>43</v>
      </c>
      <c r="D3" s="20" t="s">
        <v>45</v>
      </c>
      <c r="E3" s="25"/>
      <c r="F3" s="27">
        <v>1.0</v>
      </c>
      <c r="G3" s="27">
        <v>4800.0</v>
      </c>
      <c r="H3" s="25">
        <f t="shared" si="1"/>
        <v>4800</v>
      </c>
      <c r="I3" s="20" t="s">
        <v>23</v>
      </c>
      <c r="J3" s="33">
        <f t="shared" si="2"/>
        <v>73.84615385</v>
      </c>
      <c r="K3" s="33">
        <f t="shared" si="3"/>
        <v>184.6153846</v>
      </c>
      <c r="L3" s="33">
        <f t="shared" si="4"/>
        <v>166.1538462</v>
      </c>
      <c r="M3" s="34"/>
      <c r="N3" s="34"/>
      <c r="O3" s="34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>
      <c r="A4" s="20">
        <v>3.0</v>
      </c>
      <c r="B4" s="23" t="s">
        <v>49</v>
      </c>
      <c r="C4" s="23" t="s">
        <v>50</v>
      </c>
      <c r="D4" s="20" t="s">
        <v>51</v>
      </c>
      <c r="E4" s="25"/>
      <c r="F4" s="27">
        <v>1.0</v>
      </c>
      <c r="G4" s="27">
        <v>6080.0</v>
      </c>
      <c r="H4" s="25">
        <f t="shared" si="1"/>
        <v>6080</v>
      </c>
      <c r="I4" s="20" t="s">
        <v>53</v>
      </c>
      <c r="J4" s="33">
        <f t="shared" si="2"/>
        <v>93.53846154</v>
      </c>
      <c r="K4" s="33">
        <f t="shared" si="3"/>
        <v>233.8461538</v>
      </c>
      <c r="L4" s="33">
        <f t="shared" si="4"/>
        <v>210.4615385</v>
      </c>
      <c r="M4" s="34"/>
      <c r="N4" s="34"/>
      <c r="O4" s="34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>
      <c r="A5" s="20">
        <v>4.0</v>
      </c>
      <c r="B5" s="23" t="s">
        <v>56</v>
      </c>
      <c r="C5" s="23" t="s">
        <v>57</v>
      </c>
      <c r="D5" s="20" t="s">
        <v>58</v>
      </c>
      <c r="E5" s="25"/>
      <c r="F5" s="27">
        <v>1.0</v>
      </c>
      <c r="G5" s="27">
        <v>5520.0</v>
      </c>
      <c r="H5" s="25">
        <f t="shared" si="1"/>
        <v>5520</v>
      </c>
      <c r="I5" s="20" t="s">
        <v>23</v>
      </c>
      <c r="J5" s="33">
        <f t="shared" si="2"/>
        <v>84.92307692</v>
      </c>
      <c r="K5" s="33">
        <f t="shared" si="3"/>
        <v>212.3076923</v>
      </c>
      <c r="L5" s="33">
        <f t="shared" si="4"/>
        <v>191.0769231</v>
      </c>
      <c r="M5" s="34"/>
      <c r="N5" s="34"/>
      <c r="O5" s="34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>
      <c r="A6" s="20">
        <v>5.0</v>
      </c>
      <c r="B6" s="23" t="s">
        <v>62</v>
      </c>
      <c r="C6" s="23" t="s">
        <v>63</v>
      </c>
      <c r="D6" s="20" t="s">
        <v>64</v>
      </c>
      <c r="E6" s="25"/>
      <c r="F6" s="27">
        <v>1.0</v>
      </c>
      <c r="G6" s="27">
        <v>4400.0</v>
      </c>
      <c r="H6" s="25">
        <f t="shared" si="1"/>
        <v>4400</v>
      </c>
      <c r="I6" s="20" t="s">
        <v>23</v>
      </c>
      <c r="J6" s="33">
        <f t="shared" si="2"/>
        <v>67.69230769</v>
      </c>
      <c r="K6" s="33">
        <f t="shared" si="3"/>
        <v>169.2307692</v>
      </c>
      <c r="L6" s="33">
        <f t="shared" si="4"/>
        <v>152.3076923</v>
      </c>
      <c r="M6" s="34"/>
      <c r="N6" s="34"/>
      <c r="O6" s="34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>
      <c r="A7" s="20">
        <v>6.0</v>
      </c>
      <c r="B7" s="23" t="s">
        <v>68</v>
      </c>
      <c r="C7" s="23" t="s">
        <v>69</v>
      </c>
      <c r="D7" s="20" t="s">
        <v>70</v>
      </c>
      <c r="E7" s="25"/>
      <c r="F7" s="27">
        <v>1.0</v>
      </c>
      <c r="G7" s="27">
        <v>4080.0</v>
      </c>
      <c r="H7" s="25">
        <f t="shared" si="1"/>
        <v>4080</v>
      </c>
      <c r="I7" s="20" t="s">
        <v>23</v>
      </c>
      <c r="J7" s="33">
        <f t="shared" si="2"/>
        <v>62.76923077</v>
      </c>
      <c r="K7" s="33">
        <f t="shared" si="3"/>
        <v>156.9230769</v>
      </c>
      <c r="L7" s="33">
        <f t="shared" si="4"/>
        <v>141.2307692</v>
      </c>
      <c r="M7" s="34"/>
      <c r="N7" s="34"/>
      <c r="O7" s="34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>
      <c r="A8" s="20">
        <v>7.0</v>
      </c>
      <c r="B8" s="23" t="s">
        <v>74</v>
      </c>
      <c r="C8" s="23" t="s">
        <v>75</v>
      </c>
      <c r="D8" s="20" t="s">
        <v>76</v>
      </c>
      <c r="E8" s="25"/>
      <c r="F8" s="27">
        <v>1.0</v>
      </c>
      <c r="G8" s="27">
        <v>4800.0</v>
      </c>
      <c r="H8" s="25">
        <f t="shared" si="1"/>
        <v>4800</v>
      </c>
      <c r="I8" s="20" t="s">
        <v>23</v>
      </c>
      <c r="J8" s="33">
        <f t="shared" si="2"/>
        <v>73.84615385</v>
      </c>
      <c r="K8" s="33">
        <f t="shared" si="3"/>
        <v>184.6153846</v>
      </c>
      <c r="L8" s="33">
        <f t="shared" si="4"/>
        <v>166.1538462</v>
      </c>
      <c r="M8" s="34"/>
      <c r="N8" s="34"/>
      <c r="O8" s="34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>
      <c r="A9" s="20">
        <v>8.0</v>
      </c>
      <c r="B9" s="23" t="s">
        <v>80</v>
      </c>
      <c r="C9" s="23" t="s">
        <v>81</v>
      </c>
      <c r="D9" s="20" t="s">
        <v>82</v>
      </c>
      <c r="E9" s="25"/>
      <c r="F9" s="27">
        <v>1.0</v>
      </c>
      <c r="G9" s="27">
        <v>4960.0</v>
      </c>
      <c r="H9" s="25">
        <f t="shared" si="1"/>
        <v>4960</v>
      </c>
      <c r="I9" s="20" t="s">
        <v>23</v>
      </c>
      <c r="J9" s="33">
        <f t="shared" si="2"/>
        <v>76.30769231</v>
      </c>
      <c r="K9" s="33">
        <f t="shared" si="3"/>
        <v>190.7692308</v>
      </c>
      <c r="L9" s="33">
        <f t="shared" si="4"/>
        <v>171.6923077</v>
      </c>
      <c r="M9" s="34"/>
      <c r="N9" s="34"/>
      <c r="O9" s="34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>
      <c r="A10" s="20">
        <v>9.0</v>
      </c>
      <c r="B10" s="23" t="s">
        <v>86</v>
      </c>
      <c r="C10" s="44" t="s">
        <v>21</v>
      </c>
      <c r="D10" s="20" t="s">
        <v>88</v>
      </c>
      <c r="E10" s="45"/>
      <c r="F10" s="45">
        <v>1.0</v>
      </c>
      <c r="G10" s="45">
        <v>4480.0</v>
      </c>
      <c r="H10" s="25">
        <f t="shared" si="1"/>
        <v>4480</v>
      </c>
      <c r="I10" s="46" t="s">
        <v>23</v>
      </c>
      <c r="J10" s="33">
        <f t="shared" si="2"/>
        <v>68.92307692</v>
      </c>
      <c r="K10" s="33">
        <f t="shared" si="3"/>
        <v>172.3076923</v>
      </c>
      <c r="L10" s="33">
        <f t="shared" si="4"/>
        <v>155.0769231</v>
      </c>
      <c r="M10" s="34"/>
      <c r="N10" s="34"/>
      <c r="O10" s="34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>
      <c r="A11" s="49">
        <v>10.0</v>
      </c>
      <c r="B11" s="51" t="s">
        <v>94</v>
      </c>
      <c r="C11" s="52" t="s">
        <v>27</v>
      </c>
      <c r="D11" s="49" t="s">
        <v>96</v>
      </c>
      <c r="E11" s="53"/>
      <c r="F11" s="54">
        <v>1.0</v>
      </c>
      <c r="G11" s="54">
        <v>4480.0</v>
      </c>
      <c r="H11" s="55">
        <f t="shared" si="1"/>
        <v>4480</v>
      </c>
      <c r="I11" s="54" t="s">
        <v>23</v>
      </c>
      <c r="J11" s="56">
        <f t="shared" si="2"/>
        <v>68.92307692</v>
      </c>
      <c r="K11" s="56">
        <f t="shared" si="3"/>
        <v>172.3076923</v>
      </c>
      <c r="L11" s="56">
        <f t="shared" si="4"/>
        <v>155.0769231</v>
      </c>
      <c r="M11" s="59">
        <v>155.0</v>
      </c>
      <c r="N11" s="60" t="s">
        <v>100</v>
      </c>
      <c r="O11" s="60" t="s">
        <v>101</v>
      </c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>
      <c r="A12" s="20">
        <v>11.0</v>
      </c>
      <c r="B12" s="23" t="s">
        <v>102</v>
      </c>
      <c r="C12" s="44" t="s">
        <v>83</v>
      </c>
      <c r="D12" s="20" t="s">
        <v>103</v>
      </c>
      <c r="E12" s="45"/>
      <c r="F12" s="45">
        <v>1.0</v>
      </c>
      <c r="G12" s="45">
        <v>4400.0</v>
      </c>
      <c r="H12" s="25">
        <f t="shared" si="1"/>
        <v>4400</v>
      </c>
      <c r="I12" s="46" t="s">
        <v>23</v>
      </c>
      <c r="J12" s="33">
        <f t="shared" si="2"/>
        <v>67.69230769</v>
      </c>
      <c r="K12" s="33">
        <f t="shared" si="3"/>
        <v>169.2307692</v>
      </c>
      <c r="L12" s="33">
        <f t="shared" si="4"/>
        <v>152.3076923</v>
      </c>
      <c r="M12" s="34"/>
      <c r="N12" s="34"/>
      <c r="O12" s="34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>
      <c r="A13" s="20">
        <v>12.0</v>
      </c>
      <c r="B13" s="23" t="s">
        <v>106</v>
      </c>
      <c r="C13" s="23" t="s">
        <v>107</v>
      </c>
      <c r="D13" s="20" t="s">
        <v>109</v>
      </c>
      <c r="E13" s="61"/>
      <c r="F13" s="27">
        <v>1.0</v>
      </c>
      <c r="G13" s="27">
        <v>5200.0</v>
      </c>
      <c r="H13" s="25">
        <f t="shared" si="1"/>
        <v>5200</v>
      </c>
      <c r="I13" s="20" t="s">
        <v>23</v>
      </c>
      <c r="J13" s="33">
        <f t="shared" si="2"/>
        <v>80</v>
      </c>
      <c r="K13" s="33">
        <f t="shared" si="3"/>
        <v>200</v>
      </c>
      <c r="L13" s="33">
        <f t="shared" si="4"/>
        <v>180</v>
      </c>
      <c r="M13" s="34"/>
      <c r="N13" s="34"/>
      <c r="O13" s="34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>
      <c r="A14" s="20">
        <v>13.0</v>
      </c>
      <c r="B14" s="23" t="s">
        <v>113</v>
      </c>
      <c r="C14" s="23" t="s">
        <v>114</v>
      </c>
      <c r="D14" s="20" t="s">
        <v>115</v>
      </c>
      <c r="E14" s="61"/>
      <c r="F14" s="27">
        <v>1.0</v>
      </c>
      <c r="G14" s="27">
        <v>6720.0</v>
      </c>
      <c r="H14" s="25">
        <f t="shared" si="1"/>
        <v>6720</v>
      </c>
      <c r="I14" s="20" t="s">
        <v>23</v>
      </c>
      <c r="J14" s="33">
        <f t="shared" si="2"/>
        <v>103.3846154</v>
      </c>
      <c r="K14" s="33">
        <f t="shared" si="3"/>
        <v>258.4615385</v>
      </c>
      <c r="L14" s="33">
        <f t="shared" si="4"/>
        <v>232.6153846</v>
      </c>
      <c r="M14" s="34"/>
      <c r="N14" s="34"/>
      <c r="O14" s="34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>
      <c r="A15" s="20">
        <v>14.0</v>
      </c>
      <c r="B15" s="23" t="s">
        <v>119</v>
      </c>
      <c r="C15" s="23" t="s">
        <v>117</v>
      </c>
      <c r="D15" s="20" t="s">
        <v>120</v>
      </c>
      <c r="E15" s="61"/>
      <c r="F15" s="27">
        <v>1.0</v>
      </c>
      <c r="G15" s="27">
        <v>4800.0</v>
      </c>
      <c r="H15" s="25">
        <f t="shared" si="1"/>
        <v>4800</v>
      </c>
      <c r="I15" s="20" t="s">
        <v>23</v>
      </c>
      <c r="J15" s="33">
        <f t="shared" si="2"/>
        <v>73.84615385</v>
      </c>
      <c r="K15" s="33">
        <f t="shared" si="3"/>
        <v>184.6153846</v>
      </c>
      <c r="L15" s="33">
        <f t="shared" si="4"/>
        <v>166.1538462</v>
      </c>
      <c r="M15" s="34"/>
      <c r="N15" s="34"/>
      <c r="O15" s="34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>
      <c r="A16" s="27">
        <v>15.0</v>
      </c>
      <c r="B16" s="62" t="s">
        <v>123</v>
      </c>
      <c r="C16" s="63" t="s">
        <v>30</v>
      </c>
      <c r="D16" s="27" t="s">
        <v>125</v>
      </c>
      <c r="E16" s="64"/>
      <c r="F16" s="45">
        <v>1.0</v>
      </c>
      <c r="G16" s="45">
        <v>6720.0</v>
      </c>
      <c r="H16" s="25">
        <f t="shared" si="1"/>
        <v>6720</v>
      </c>
      <c r="I16" s="45" t="s">
        <v>23</v>
      </c>
      <c r="J16" s="33">
        <f t="shared" si="2"/>
        <v>103.3846154</v>
      </c>
      <c r="K16" s="33">
        <f t="shared" si="3"/>
        <v>258.4615385</v>
      </c>
      <c r="L16" s="33">
        <f t="shared" si="4"/>
        <v>232.6153846</v>
      </c>
      <c r="M16" s="65"/>
      <c r="N16" s="65"/>
      <c r="O16" s="65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</row>
    <row r="17">
      <c r="A17" s="20">
        <v>16.0</v>
      </c>
      <c r="B17" s="23" t="s">
        <v>131</v>
      </c>
      <c r="C17" s="23" t="s">
        <v>132</v>
      </c>
      <c r="D17" s="20" t="s">
        <v>133</v>
      </c>
      <c r="E17" s="61"/>
      <c r="F17" s="27">
        <v>1.0</v>
      </c>
      <c r="G17" s="27">
        <v>5120.0</v>
      </c>
      <c r="H17" s="25">
        <f t="shared" si="1"/>
        <v>5120</v>
      </c>
      <c r="I17" s="20" t="s">
        <v>23</v>
      </c>
      <c r="J17" s="33">
        <f t="shared" si="2"/>
        <v>78.76923077</v>
      </c>
      <c r="K17" s="67">
        <f t="shared" si="3"/>
        <v>196.9230769</v>
      </c>
      <c r="L17" s="33">
        <f t="shared" si="4"/>
        <v>177.2307692</v>
      </c>
      <c r="M17" s="34"/>
      <c r="N17" s="34"/>
      <c r="O17" s="34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>
      <c r="A18" s="20">
        <v>17.0</v>
      </c>
      <c r="B18" s="23" t="s">
        <v>137</v>
      </c>
      <c r="C18" s="23" t="s">
        <v>138</v>
      </c>
      <c r="D18" s="20" t="s">
        <v>139</v>
      </c>
      <c r="E18" s="61"/>
      <c r="F18" s="27">
        <v>1.0</v>
      </c>
      <c r="G18" s="27">
        <v>4800.0</v>
      </c>
      <c r="H18" s="25">
        <f t="shared" si="1"/>
        <v>4800</v>
      </c>
      <c r="I18" s="20" t="s">
        <v>23</v>
      </c>
      <c r="J18" s="33">
        <f t="shared" si="2"/>
        <v>73.84615385</v>
      </c>
      <c r="K18" s="33">
        <f t="shared" si="3"/>
        <v>184.6153846</v>
      </c>
      <c r="L18" s="33">
        <f t="shared" si="4"/>
        <v>166.1538462</v>
      </c>
      <c r="M18" s="34"/>
      <c r="N18" s="34"/>
      <c r="O18" s="34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>
      <c r="A19" s="49">
        <v>18.0</v>
      </c>
      <c r="B19" s="51" t="s">
        <v>142</v>
      </c>
      <c r="C19" s="52" t="s">
        <v>143</v>
      </c>
      <c r="D19" s="49" t="s">
        <v>144</v>
      </c>
      <c r="E19" s="53"/>
      <c r="F19" s="54">
        <v>1.0</v>
      </c>
      <c r="G19" s="54">
        <v>5520.0</v>
      </c>
      <c r="H19" s="55">
        <f t="shared" si="1"/>
        <v>5520</v>
      </c>
      <c r="I19" s="54" t="s">
        <v>23</v>
      </c>
      <c r="J19" s="56">
        <f t="shared" si="2"/>
        <v>84.92307692</v>
      </c>
      <c r="K19" s="56">
        <f t="shared" si="3"/>
        <v>212.3076923</v>
      </c>
      <c r="L19" s="56">
        <f t="shared" si="4"/>
        <v>191.0769231</v>
      </c>
      <c r="M19" s="59">
        <v>190.0</v>
      </c>
      <c r="N19" s="60" t="s">
        <v>100</v>
      </c>
      <c r="O19" s="60" t="s">
        <v>148</v>
      </c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>
      <c r="A20" s="49">
        <v>19.0</v>
      </c>
      <c r="B20" s="68" t="s">
        <v>150</v>
      </c>
      <c r="C20" s="68" t="s">
        <v>154</v>
      </c>
      <c r="D20" s="49" t="s">
        <v>156</v>
      </c>
      <c r="E20" s="69"/>
      <c r="F20" s="49">
        <v>1.0</v>
      </c>
      <c r="G20" s="49">
        <v>6720.0</v>
      </c>
      <c r="H20" s="55">
        <f t="shared" si="1"/>
        <v>6720</v>
      </c>
      <c r="I20" s="49" t="s">
        <v>23</v>
      </c>
      <c r="J20" s="56">
        <f t="shared" si="2"/>
        <v>103.3846154</v>
      </c>
      <c r="K20" s="56">
        <f t="shared" si="3"/>
        <v>258.4615385</v>
      </c>
      <c r="L20" s="56">
        <f t="shared" si="4"/>
        <v>232.6153846</v>
      </c>
      <c r="M20" s="60">
        <v>223.0</v>
      </c>
      <c r="N20" s="60" t="s">
        <v>100</v>
      </c>
      <c r="O20" s="60" t="s">
        <v>160</v>
      </c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</row>
    <row r="21">
      <c r="A21" s="20">
        <v>20.0</v>
      </c>
      <c r="B21" s="23" t="s">
        <v>163</v>
      </c>
      <c r="C21" s="23" t="s">
        <v>164</v>
      </c>
      <c r="D21" s="20" t="s">
        <v>165</v>
      </c>
      <c r="E21" s="61"/>
      <c r="F21" s="27">
        <v>1.0</v>
      </c>
      <c r="G21" s="27">
        <v>4640.0</v>
      </c>
      <c r="H21" s="25">
        <f t="shared" si="1"/>
        <v>4640</v>
      </c>
      <c r="I21" s="20" t="s">
        <v>23</v>
      </c>
      <c r="J21" s="33">
        <f t="shared" si="2"/>
        <v>71.38461538</v>
      </c>
      <c r="K21" s="33">
        <f t="shared" si="3"/>
        <v>178.4615385</v>
      </c>
      <c r="L21" s="33">
        <f t="shared" si="4"/>
        <v>160.6153846</v>
      </c>
      <c r="M21" s="34"/>
      <c r="N21" s="34"/>
      <c r="O21" s="34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>
      <c r="A22" s="20">
        <v>21.0</v>
      </c>
      <c r="B22" s="23" t="s">
        <v>169</v>
      </c>
      <c r="C22" s="23" t="s">
        <v>170</v>
      </c>
      <c r="D22" s="20" t="s">
        <v>172</v>
      </c>
      <c r="E22" s="61"/>
      <c r="F22" s="27">
        <v>1.0</v>
      </c>
      <c r="G22" s="27">
        <v>4640.0</v>
      </c>
      <c r="H22" s="25">
        <f t="shared" si="1"/>
        <v>4640</v>
      </c>
      <c r="I22" s="20" t="s">
        <v>23</v>
      </c>
      <c r="J22" s="33">
        <f t="shared" si="2"/>
        <v>71.38461538</v>
      </c>
      <c r="K22" s="71">
        <f t="shared" si="3"/>
        <v>178.4615385</v>
      </c>
      <c r="L22" s="33">
        <f t="shared" si="4"/>
        <v>160.6153846</v>
      </c>
      <c r="M22" s="34"/>
      <c r="N22" s="34"/>
      <c r="O22" s="34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>
      <c r="A23" s="20">
        <v>22.0</v>
      </c>
      <c r="B23" s="23" t="s">
        <v>177</v>
      </c>
      <c r="C23" s="23" t="s">
        <v>178</v>
      </c>
      <c r="D23" s="20" t="s">
        <v>180</v>
      </c>
      <c r="E23" s="61"/>
      <c r="F23" s="27">
        <v>1.0</v>
      </c>
      <c r="G23" s="27">
        <v>4800.0</v>
      </c>
      <c r="H23" s="25">
        <f t="shared" si="1"/>
        <v>4800</v>
      </c>
      <c r="I23" s="20" t="s">
        <v>23</v>
      </c>
      <c r="J23" s="33">
        <f t="shared" si="2"/>
        <v>73.84615385</v>
      </c>
      <c r="K23" s="33">
        <f t="shared" si="3"/>
        <v>184.6153846</v>
      </c>
      <c r="L23" s="33">
        <f t="shared" si="4"/>
        <v>166.1538462</v>
      </c>
      <c r="M23" s="34"/>
      <c r="N23" s="34"/>
      <c r="O23" s="34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>
      <c r="A24" s="49">
        <v>23.0</v>
      </c>
      <c r="B24" s="68" t="s">
        <v>186</v>
      </c>
      <c r="C24" s="68" t="s">
        <v>187</v>
      </c>
      <c r="D24" s="49" t="s">
        <v>188</v>
      </c>
      <c r="E24" s="69" t="s">
        <v>189</v>
      </c>
      <c r="F24" s="49">
        <v>1.0</v>
      </c>
      <c r="G24" s="49">
        <v>4800.0</v>
      </c>
      <c r="H24" s="55">
        <f t="shared" si="1"/>
        <v>4800</v>
      </c>
      <c r="I24" s="49" t="s">
        <v>23</v>
      </c>
      <c r="J24" s="56">
        <f t="shared" si="2"/>
        <v>73.84615385</v>
      </c>
      <c r="K24" s="56">
        <f t="shared" si="3"/>
        <v>184.6153846</v>
      </c>
      <c r="L24" s="56">
        <f t="shared" si="4"/>
        <v>166.1538462</v>
      </c>
      <c r="M24" s="60">
        <v>150.0</v>
      </c>
      <c r="N24" s="60" t="s">
        <v>192</v>
      </c>
      <c r="O24" s="72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</row>
    <row r="25">
      <c r="A25" s="20">
        <v>24.0</v>
      </c>
      <c r="B25" s="23" t="s">
        <v>196</v>
      </c>
      <c r="C25" s="23" t="s">
        <v>197</v>
      </c>
      <c r="D25" s="20" t="s">
        <v>198</v>
      </c>
      <c r="E25" s="61"/>
      <c r="F25" s="27">
        <v>1.0</v>
      </c>
      <c r="G25" s="27">
        <v>3120.0</v>
      </c>
      <c r="H25" s="25">
        <f t="shared" si="1"/>
        <v>3120</v>
      </c>
      <c r="I25" s="20" t="s">
        <v>23</v>
      </c>
      <c r="J25" s="33">
        <f t="shared" si="2"/>
        <v>48</v>
      </c>
      <c r="K25" s="33">
        <f t="shared" si="3"/>
        <v>120</v>
      </c>
      <c r="L25" s="33">
        <f t="shared" si="4"/>
        <v>108</v>
      </c>
      <c r="M25" s="34"/>
      <c r="N25" s="34"/>
      <c r="O25" s="34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>
      <c r="A26" s="20">
        <v>25.0</v>
      </c>
      <c r="B26" s="23" t="s">
        <v>204</v>
      </c>
      <c r="C26" s="23" t="s">
        <v>205</v>
      </c>
      <c r="D26" s="20" t="s">
        <v>207</v>
      </c>
      <c r="E26" s="61"/>
      <c r="F26" s="27">
        <v>1.0</v>
      </c>
      <c r="G26" s="27">
        <v>3520.0</v>
      </c>
      <c r="H26" s="25">
        <f t="shared" si="1"/>
        <v>3520</v>
      </c>
      <c r="I26" s="20" t="s">
        <v>23</v>
      </c>
      <c r="J26" s="33">
        <f t="shared" si="2"/>
        <v>54.15384615</v>
      </c>
      <c r="K26" s="33">
        <f t="shared" si="3"/>
        <v>135.3846154</v>
      </c>
      <c r="L26" s="33">
        <f t="shared" si="4"/>
        <v>121.8461538</v>
      </c>
      <c r="M26" s="34"/>
      <c r="N26" s="34"/>
      <c r="O26" s="34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>
      <c r="A27" s="20">
        <v>26.0</v>
      </c>
      <c r="B27" s="23" t="s">
        <v>212</v>
      </c>
      <c r="C27" s="23" t="s">
        <v>213</v>
      </c>
      <c r="D27" s="20" t="s">
        <v>214</v>
      </c>
      <c r="E27" s="61"/>
      <c r="F27" s="27">
        <v>1.0</v>
      </c>
      <c r="G27" s="27">
        <v>3520.0</v>
      </c>
      <c r="H27" s="25">
        <f t="shared" si="1"/>
        <v>3520</v>
      </c>
      <c r="I27" s="20" t="s">
        <v>23</v>
      </c>
      <c r="J27" s="33">
        <f t="shared" si="2"/>
        <v>54.15384615</v>
      </c>
      <c r="K27" s="33">
        <f t="shared" si="3"/>
        <v>135.3846154</v>
      </c>
      <c r="L27" s="33">
        <f t="shared" si="4"/>
        <v>121.8461538</v>
      </c>
      <c r="M27" s="34"/>
      <c r="N27" s="34"/>
      <c r="O27" s="34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>
      <c r="A28" s="20">
        <v>27.0</v>
      </c>
      <c r="B28" s="23" t="s">
        <v>218</v>
      </c>
      <c r="C28" s="23" t="s">
        <v>219</v>
      </c>
      <c r="D28" s="20" t="s">
        <v>220</v>
      </c>
      <c r="E28" s="61"/>
      <c r="F28" s="27">
        <v>1.0</v>
      </c>
      <c r="G28" s="27">
        <v>3520.0</v>
      </c>
      <c r="H28" s="25">
        <f t="shared" si="1"/>
        <v>3520</v>
      </c>
      <c r="I28" s="20" t="s">
        <v>23</v>
      </c>
      <c r="J28" s="33">
        <f t="shared" si="2"/>
        <v>54.15384615</v>
      </c>
      <c r="K28" s="33">
        <f t="shared" si="3"/>
        <v>135.3846154</v>
      </c>
      <c r="L28" s="33">
        <f t="shared" si="4"/>
        <v>121.8461538</v>
      </c>
      <c r="M28" s="34"/>
      <c r="N28" s="34"/>
      <c r="O28" s="34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>
      <c r="A29" s="49">
        <v>28.0</v>
      </c>
      <c r="B29" s="51" t="s">
        <v>224</v>
      </c>
      <c r="C29" s="68" t="s">
        <v>225</v>
      </c>
      <c r="D29" s="49" t="s">
        <v>226</v>
      </c>
      <c r="E29" s="69"/>
      <c r="F29" s="49">
        <v>1.0</v>
      </c>
      <c r="G29" s="49">
        <v>3680.0</v>
      </c>
      <c r="H29" s="55">
        <f t="shared" si="1"/>
        <v>3680</v>
      </c>
      <c r="I29" s="49" t="s">
        <v>23</v>
      </c>
      <c r="J29" s="56">
        <f t="shared" si="2"/>
        <v>56.61538462</v>
      </c>
      <c r="K29" s="56">
        <f t="shared" si="3"/>
        <v>141.5384615</v>
      </c>
      <c r="L29" s="56">
        <f t="shared" si="4"/>
        <v>127.3846154</v>
      </c>
      <c r="M29" s="59">
        <v>127.0</v>
      </c>
      <c r="N29" s="60" t="s">
        <v>100</v>
      </c>
      <c r="O29" s="60" t="s">
        <v>229</v>
      </c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8.75" customHeight="1">
      <c r="A30" s="49">
        <v>29.0</v>
      </c>
      <c r="B30" s="68" t="s">
        <v>230</v>
      </c>
      <c r="C30" s="68" t="s">
        <v>232</v>
      </c>
      <c r="D30" s="49" t="s">
        <v>233</v>
      </c>
      <c r="E30" s="69"/>
      <c r="F30" s="49">
        <v>1.0</v>
      </c>
      <c r="G30" s="49">
        <v>3824.0</v>
      </c>
      <c r="H30" s="55">
        <f t="shared" si="1"/>
        <v>3824</v>
      </c>
      <c r="I30" s="49" t="s">
        <v>23</v>
      </c>
      <c r="J30" s="56">
        <f t="shared" si="2"/>
        <v>58.83076923</v>
      </c>
      <c r="K30" s="56">
        <f t="shared" si="3"/>
        <v>147.0769231</v>
      </c>
      <c r="L30" s="56">
        <f t="shared" si="4"/>
        <v>132.3692308</v>
      </c>
      <c r="M30" s="60">
        <v>132.0</v>
      </c>
      <c r="N30" s="60" t="s">
        <v>100</v>
      </c>
      <c r="O30" s="72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</row>
    <row r="31" ht="18.75" customHeight="1">
      <c r="A31" s="20">
        <v>30.0</v>
      </c>
      <c r="B31" s="23" t="s">
        <v>236</v>
      </c>
      <c r="C31" s="23" t="s">
        <v>237</v>
      </c>
      <c r="D31" s="20" t="s">
        <v>238</v>
      </c>
      <c r="E31" s="61"/>
      <c r="F31" s="27">
        <v>1.0</v>
      </c>
      <c r="G31" s="27">
        <v>3840.0</v>
      </c>
      <c r="H31" s="25">
        <f t="shared" si="1"/>
        <v>3840</v>
      </c>
      <c r="I31" s="20" t="s">
        <v>23</v>
      </c>
      <c r="J31" s="33">
        <f t="shared" si="2"/>
        <v>59.07692308</v>
      </c>
      <c r="K31" s="33">
        <f t="shared" si="3"/>
        <v>147.6923077</v>
      </c>
      <c r="L31" s="33">
        <f t="shared" si="4"/>
        <v>132.9230769</v>
      </c>
      <c r="M31" s="34"/>
      <c r="N31" s="34"/>
      <c r="O31" s="34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</row>
    <row r="32" ht="18.75" customHeight="1">
      <c r="A32" s="20">
        <v>31.0</v>
      </c>
      <c r="B32" s="23" t="s">
        <v>242</v>
      </c>
      <c r="C32" s="23" t="s">
        <v>243</v>
      </c>
      <c r="D32" s="20" t="s">
        <v>244</v>
      </c>
      <c r="E32" s="61"/>
      <c r="F32" s="27">
        <v>1.0</v>
      </c>
      <c r="G32" s="27">
        <v>3984.0</v>
      </c>
      <c r="H32" s="25">
        <f t="shared" si="1"/>
        <v>3984</v>
      </c>
      <c r="I32" s="20" t="s">
        <v>23</v>
      </c>
      <c r="J32" s="33">
        <f t="shared" si="2"/>
        <v>61.29230769</v>
      </c>
      <c r="K32" s="33">
        <f t="shared" si="3"/>
        <v>153.2307692</v>
      </c>
      <c r="L32" s="33">
        <f t="shared" si="4"/>
        <v>137.9076923</v>
      </c>
      <c r="M32" s="34"/>
      <c r="N32" s="34"/>
      <c r="O32" s="34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</row>
    <row r="33" ht="18.75" customHeight="1">
      <c r="A33" s="20">
        <v>32.0</v>
      </c>
      <c r="B33" s="23" t="s">
        <v>247</v>
      </c>
      <c r="C33" s="23" t="s">
        <v>248</v>
      </c>
      <c r="D33" s="20" t="s">
        <v>249</v>
      </c>
      <c r="E33" s="61"/>
      <c r="F33" s="27">
        <v>1.0</v>
      </c>
      <c r="G33" s="27">
        <v>3984.0</v>
      </c>
      <c r="H33" s="25">
        <f t="shared" si="1"/>
        <v>3984</v>
      </c>
      <c r="I33" s="20" t="s">
        <v>23</v>
      </c>
      <c r="J33" s="33">
        <f t="shared" si="2"/>
        <v>61.29230769</v>
      </c>
      <c r="K33" s="33">
        <f t="shared" si="3"/>
        <v>153.2307692</v>
      </c>
      <c r="L33" s="33">
        <f t="shared" si="4"/>
        <v>137.9076923</v>
      </c>
      <c r="M33" s="34"/>
      <c r="N33" s="34"/>
      <c r="O33" s="34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</row>
    <row r="34" ht="18.75" customHeight="1">
      <c r="A34" s="49">
        <v>33.0</v>
      </c>
      <c r="B34" s="51" t="s">
        <v>253</v>
      </c>
      <c r="C34" s="68" t="s">
        <v>108</v>
      </c>
      <c r="D34" s="49" t="s">
        <v>254</v>
      </c>
      <c r="E34" s="49"/>
      <c r="F34" s="49">
        <v>1.0</v>
      </c>
      <c r="G34" s="49">
        <v>4232.0</v>
      </c>
      <c r="H34" s="55">
        <f t="shared" si="1"/>
        <v>4232</v>
      </c>
      <c r="I34" s="49" t="s">
        <v>23</v>
      </c>
      <c r="J34" s="56">
        <f t="shared" si="2"/>
        <v>65.10769231</v>
      </c>
      <c r="K34" s="56">
        <f t="shared" si="3"/>
        <v>162.7692308</v>
      </c>
      <c r="L34" s="56">
        <f t="shared" si="4"/>
        <v>146.4923077</v>
      </c>
      <c r="M34" s="59">
        <v>150.0</v>
      </c>
      <c r="N34" s="60" t="s">
        <v>100</v>
      </c>
      <c r="O34" s="60" t="s">
        <v>257</v>
      </c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</row>
    <row r="35" ht="18.75" customHeight="1">
      <c r="A35" s="20">
        <v>34.0</v>
      </c>
      <c r="B35" s="23" t="s">
        <v>258</v>
      </c>
      <c r="C35" s="23" t="s">
        <v>105</v>
      </c>
      <c r="D35" s="20" t="s">
        <v>260</v>
      </c>
      <c r="E35" s="61"/>
      <c r="F35" s="27">
        <v>1.0</v>
      </c>
      <c r="G35" s="27">
        <v>4400.0</v>
      </c>
      <c r="H35" s="25">
        <f t="shared" si="1"/>
        <v>4400</v>
      </c>
      <c r="I35" s="20" t="s">
        <v>23</v>
      </c>
      <c r="J35" s="33">
        <f t="shared" si="2"/>
        <v>67.69230769</v>
      </c>
      <c r="K35" s="33">
        <f t="shared" si="3"/>
        <v>169.2307692</v>
      </c>
      <c r="L35" s="33">
        <f t="shared" si="4"/>
        <v>152.3076923</v>
      </c>
      <c r="M35" s="34"/>
      <c r="N35" s="34"/>
      <c r="O35" s="34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</row>
    <row r="36">
      <c r="A36" s="20">
        <v>35.0</v>
      </c>
      <c r="B36" s="23" t="s">
        <v>264</v>
      </c>
      <c r="C36" s="23" t="s">
        <v>265</v>
      </c>
      <c r="D36" s="20" t="s">
        <v>266</v>
      </c>
      <c r="E36" s="61"/>
      <c r="F36" s="27">
        <v>1.0</v>
      </c>
      <c r="G36" s="27">
        <v>4400.0</v>
      </c>
      <c r="H36" s="25">
        <f t="shared" si="1"/>
        <v>4400</v>
      </c>
      <c r="I36" s="20" t="s">
        <v>23</v>
      </c>
      <c r="J36" s="33">
        <f t="shared" si="2"/>
        <v>67.69230769</v>
      </c>
      <c r="K36" s="33">
        <f t="shared" si="3"/>
        <v>169.2307692</v>
      </c>
      <c r="L36" s="33">
        <f t="shared" si="4"/>
        <v>152.3076923</v>
      </c>
      <c r="M36" s="34"/>
      <c r="N36" s="34"/>
      <c r="O36" s="34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</row>
    <row r="37">
      <c r="A37" s="20">
        <v>36.0</v>
      </c>
      <c r="B37" s="23" t="s">
        <v>270</v>
      </c>
      <c r="C37" s="23" t="s">
        <v>271</v>
      </c>
      <c r="D37" s="20" t="s">
        <v>272</v>
      </c>
      <c r="E37" s="61"/>
      <c r="F37" s="27">
        <v>1.0</v>
      </c>
      <c r="G37" s="27">
        <v>4480.0</v>
      </c>
      <c r="H37" s="25">
        <f t="shared" si="1"/>
        <v>4480</v>
      </c>
      <c r="I37" s="20" t="s">
        <v>23</v>
      </c>
      <c r="J37" s="33">
        <f t="shared" si="2"/>
        <v>68.92307692</v>
      </c>
      <c r="K37" s="33">
        <f t="shared" si="3"/>
        <v>172.3076923</v>
      </c>
      <c r="L37" s="33">
        <f t="shared" si="4"/>
        <v>155.0769231</v>
      </c>
      <c r="M37" s="34"/>
      <c r="N37" s="34"/>
      <c r="O37" s="34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</row>
    <row r="38">
      <c r="A38" s="20">
        <v>37.0</v>
      </c>
      <c r="B38" s="23" t="s">
        <v>275</v>
      </c>
      <c r="C38" s="23" t="s">
        <v>276</v>
      </c>
      <c r="D38" s="20" t="s">
        <v>277</v>
      </c>
      <c r="E38" s="61"/>
      <c r="F38" s="27">
        <v>1.0</v>
      </c>
      <c r="G38" s="27">
        <v>4480.0</v>
      </c>
      <c r="H38" s="25">
        <f t="shared" si="1"/>
        <v>4480</v>
      </c>
      <c r="I38" s="20" t="s">
        <v>23</v>
      </c>
      <c r="J38" s="33">
        <f t="shared" si="2"/>
        <v>68.92307692</v>
      </c>
      <c r="K38" s="33">
        <f t="shared" si="3"/>
        <v>172.3076923</v>
      </c>
      <c r="L38" s="33">
        <f t="shared" si="4"/>
        <v>155.0769231</v>
      </c>
      <c r="M38" s="34"/>
      <c r="N38" s="34"/>
      <c r="O38" s="34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</row>
    <row r="39">
      <c r="A39" s="20">
        <v>38.0</v>
      </c>
      <c r="B39" s="23" t="s">
        <v>279</v>
      </c>
      <c r="C39" s="23" t="s">
        <v>280</v>
      </c>
      <c r="D39" s="20" t="s">
        <v>281</v>
      </c>
      <c r="E39" s="61"/>
      <c r="F39" s="27">
        <v>1.0</v>
      </c>
      <c r="G39" s="27">
        <v>4560.0</v>
      </c>
      <c r="H39" s="25">
        <f t="shared" si="1"/>
        <v>4560</v>
      </c>
      <c r="I39" s="20" t="s">
        <v>23</v>
      </c>
      <c r="J39" s="33">
        <f t="shared" si="2"/>
        <v>70.15384615</v>
      </c>
      <c r="K39" s="33">
        <f t="shared" si="3"/>
        <v>175.3846154</v>
      </c>
      <c r="L39" s="33">
        <f t="shared" si="4"/>
        <v>157.8461538</v>
      </c>
      <c r="M39" s="34"/>
      <c r="N39" s="34"/>
      <c r="O39" s="34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</row>
    <row r="40">
      <c r="A40" s="20">
        <v>39.0</v>
      </c>
      <c r="B40" s="23" t="s">
        <v>284</v>
      </c>
      <c r="C40" s="23" t="s">
        <v>285</v>
      </c>
      <c r="D40" s="20" t="s">
        <v>286</v>
      </c>
      <c r="E40" s="61"/>
      <c r="F40" s="27">
        <v>1.0</v>
      </c>
      <c r="G40" s="27">
        <v>4640.0</v>
      </c>
      <c r="H40" s="25">
        <f t="shared" si="1"/>
        <v>4640</v>
      </c>
      <c r="I40" s="20" t="s">
        <v>23</v>
      </c>
      <c r="J40" s="33">
        <f t="shared" si="2"/>
        <v>71.38461538</v>
      </c>
      <c r="K40" s="33">
        <f t="shared" si="3"/>
        <v>178.4615385</v>
      </c>
      <c r="L40" s="33">
        <f t="shared" si="4"/>
        <v>160.6153846</v>
      </c>
      <c r="M40" s="34"/>
      <c r="N40" s="34"/>
      <c r="O40" s="34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>
      <c r="A41" s="20">
        <v>40.0</v>
      </c>
      <c r="B41" s="23" t="s">
        <v>291</v>
      </c>
      <c r="C41" s="23" t="s">
        <v>292</v>
      </c>
      <c r="D41" s="20" t="s">
        <v>293</v>
      </c>
      <c r="E41" s="61"/>
      <c r="F41" s="27">
        <v>1.0</v>
      </c>
      <c r="G41" s="27">
        <v>4640.0</v>
      </c>
      <c r="H41" s="25">
        <f t="shared" si="1"/>
        <v>4640</v>
      </c>
      <c r="I41" s="20" t="s">
        <v>23</v>
      </c>
      <c r="J41" s="33">
        <f t="shared" si="2"/>
        <v>71.38461538</v>
      </c>
      <c r="K41" s="33">
        <f t="shared" si="3"/>
        <v>178.4615385</v>
      </c>
      <c r="L41" s="33">
        <f t="shared" si="4"/>
        <v>160.6153846</v>
      </c>
      <c r="M41" s="34"/>
      <c r="N41" s="34"/>
      <c r="O41" s="34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</row>
    <row r="42">
      <c r="A42" s="20">
        <v>41.0</v>
      </c>
      <c r="B42" s="23" t="s">
        <v>297</v>
      </c>
      <c r="C42" s="23" t="s">
        <v>298</v>
      </c>
      <c r="D42" s="20" t="s">
        <v>299</v>
      </c>
      <c r="E42" s="61"/>
      <c r="F42" s="27">
        <v>1.0</v>
      </c>
      <c r="G42" s="27">
        <v>4768.0</v>
      </c>
      <c r="H42" s="25">
        <f t="shared" si="1"/>
        <v>4768</v>
      </c>
      <c r="I42" s="20" t="s">
        <v>23</v>
      </c>
      <c r="J42" s="33">
        <f t="shared" si="2"/>
        <v>73.35384615</v>
      </c>
      <c r="K42" s="33">
        <f t="shared" si="3"/>
        <v>183.3846154</v>
      </c>
      <c r="L42" s="33">
        <f t="shared" si="4"/>
        <v>165.0461538</v>
      </c>
      <c r="M42" s="34"/>
      <c r="N42" s="34"/>
      <c r="O42" s="34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</row>
    <row r="43">
      <c r="A43" s="49">
        <v>42.0</v>
      </c>
      <c r="B43" s="51" t="s">
        <v>300</v>
      </c>
      <c r="C43" s="68" t="s">
        <v>301</v>
      </c>
      <c r="D43" s="49" t="s">
        <v>302</v>
      </c>
      <c r="E43" s="69"/>
      <c r="F43" s="49">
        <v>1.0</v>
      </c>
      <c r="G43" s="49">
        <v>4960.0</v>
      </c>
      <c r="H43" s="55">
        <f t="shared" si="1"/>
        <v>4960</v>
      </c>
      <c r="I43" s="49" t="s">
        <v>23</v>
      </c>
      <c r="J43" s="56">
        <f t="shared" si="2"/>
        <v>76.30769231</v>
      </c>
      <c r="K43" s="56">
        <f t="shared" si="3"/>
        <v>190.7692308</v>
      </c>
      <c r="L43" s="56">
        <f t="shared" si="4"/>
        <v>171.6923077</v>
      </c>
      <c r="M43" s="60">
        <v>142.0</v>
      </c>
      <c r="N43" s="60" t="s">
        <v>100</v>
      </c>
      <c r="O43" s="60" t="s">
        <v>229</v>
      </c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</row>
    <row r="44">
      <c r="A44" s="20">
        <v>43.0</v>
      </c>
      <c r="B44" s="23" t="s">
        <v>307</v>
      </c>
      <c r="C44" s="23" t="s">
        <v>97</v>
      </c>
      <c r="D44" s="20" t="s">
        <v>308</v>
      </c>
      <c r="E44" s="61"/>
      <c r="F44" s="27">
        <v>1.0</v>
      </c>
      <c r="G44" s="27">
        <v>4960.0</v>
      </c>
      <c r="H44" s="25">
        <f t="shared" si="1"/>
        <v>4960</v>
      </c>
      <c r="I44" s="20" t="s">
        <v>23</v>
      </c>
      <c r="J44" s="33">
        <f t="shared" si="2"/>
        <v>76.30769231</v>
      </c>
      <c r="K44" s="33">
        <f t="shared" si="3"/>
        <v>190.7692308</v>
      </c>
      <c r="L44" s="33">
        <f t="shared" si="4"/>
        <v>171.6923077</v>
      </c>
      <c r="M44" s="34"/>
      <c r="N44" s="34"/>
      <c r="O44" s="34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</row>
    <row r="45">
      <c r="A45" s="78">
        <v>44.0</v>
      </c>
      <c r="B45" s="79" t="s">
        <v>312</v>
      </c>
      <c r="C45" s="79" t="s">
        <v>313</v>
      </c>
      <c r="D45" s="78" t="s">
        <v>314</v>
      </c>
      <c r="E45" s="80"/>
      <c r="F45" s="81">
        <v>1.0</v>
      </c>
      <c r="G45" s="81">
        <v>5120.0</v>
      </c>
      <c r="H45" s="82">
        <f t="shared" si="1"/>
        <v>5120</v>
      </c>
      <c r="I45" s="78" t="s">
        <v>23</v>
      </c>
      <c r="J45" s="71">
        <f t="shared" si="2"/>
        <v>78.76923077</v>
      </c>
      <c r="K45" s="71">
        <f t="shared" si="3"/>
        <v>196.9230769</v>
      </c>
      <c r="L45" s="71">
        <f t="shared" si="4"/>
        <v>177.2307692</v>
      </c>
      <c r="M45" s="83"/>
      <c r="N45" s="84"/>
      <c r="O45" s="83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</row>
    <row r="46">
      <c r="A46" s="20">
        <v>45.0</v>
      </c>
      <c r="B46" s="23" t="s">
        <v>317</v>
      </c>
      <c r="C46" s="23" t="s">
        <v>318</v>
      </c>
      <c r="D46" s="20" t="s">
        <v>319</v>
      </c>
      <c r="E46" s="61"/>
      <c r="F46" s="27">
        <v>1.0</v>
      </c>
      <c r="G46" s="27">
        <v>5280.0</v>
      </c>
      <c r="H46" s="25">
        <f t="shared" si="1"/>
        <v>5280</v>
      </c>
      <c r="I46" s="20" t="s">
        <v>23</v>
      </c>
      <c r="J46" s="33">
        <f t="shared" si="2"/>
        <v>81.23076923</v>
      </c>
      <c r="K46" s="33">
        <f t="shared" si="3"/>
        <v>203.0769231</v>
      </c>
      <c r="L46" s="33">
        <f t="shared" si="4"/>
        <v>182.7692308</v>
      </c>
      <c r="M46" s="34"/>
      <c r="N46" s="34"/>
      <c r="O46" s="34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</row>
    <row r="47">
      <c r="A47" s="20">
        <v>46.0</v>
      </c>
      <c r="B47" s="23" t="s">
        <v>320</v>
      </c>
      <c r="C47" s="23" t="s">
        <v>321</v>
      </c>
      <c r="D47" s="88" t="s">
        <v>322</v>
      </c>
      <c r="E47" s="25"/>
      <c r="F47" s="27">
        <v>1.0</v>
      </c>
      <c r="G47" s="27">
        <v>5280.0</v>
      </c>
      <c r="H47" s="25">
        <f t="shared" si="1"/>
        <v>5280</v>
      </c>
      <c r="I47" s="20" t="s">
        <v>23</v>
      </c>
      <c r="J47" s="33">
        <f t="shared" si="2"/>
        <v>81.23076923</v>
      </c>
      <c r="K47" s="33">
        <f t="shared" si="3"/>
        <v>203.0769231</v>
      </c>
      <c r="L47" s="33">
        <f t="shared" si="4"/>
        <v>182.7692308</v>
      </c>
      <c r="M47" s="34"/>
      <c r="N47" s="34"/>
      <c r="O47" s="34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</row>
    <row r="48">
      <c r="A48" s="20">
        <v>47.0</v>
      </c>
      <c r="B48" s="23" t="s">
        <v>323</v>
      </c>
      <c r="C48" s="23" t="s">
        <v>324</v>
      </c>
      <c r="D48" s="88" t="s">
        <v>325</v>
      </c>
      <c r="E48" s="25"/>
      <c r="F48" s="27">
        <v>1.0</v>
      </c>
      <c r="G48" s="27">
        <v>4480.0</v>
      </c>
      <c r="H48" s="25">
        <f t="shared" si="1"/>
        <v>4480</v>
      </c>
      <c r="I48" s="20" t="s">
        <v>23</v>
      </c>
      <c r="J48" s="33">
        <f t="shared" si="2"/>
        <v>68.92307692</v>
      </c>
      <c r="K48" s="33">
        <f t="shared" si="3"/>
        <v>172.3076923</v>
      </c>
      <c r="L48" s="33">
        <f t="shared" si="4"/>
        <v>155.0769231</v>
      </c>
      <c r="M48" s="34"/>
      <c r="N48" s="34"/>
      <c r="O48" s="34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</row>
    <row r="49">
      <c r="A49" s="20">
        <v>48.0</v>
      </c>
      <c r="B49" s="23" t="s">
        <v>326</v>
      </c>
      <c r="C49" s="23" t="s">
        <v>327</v>
      </c>
      <c r="D49" s="88" t="s">
        <v>328</v>
      </c>
      <c r="E49" s="25"/>
      <c r="F49" s="27">
        <v>1.0</v>
      </c>
      <c r="G49" s="27">
        <v>5280.0</v>
      </c>
      <c r="H49" s="25">
        <f t="shared" si="1"/>
        <v>5280</v>
      </c>
      <c r="I49" s="20" t="s">
        <v>23</v>
      </c>
      <c r="J49" s="33">
        <f t="shared" si="2"/>
        <v>81.23076923</v>
      </c>
      <c r="K49" s="33">
        <f t="shared" si="3"/>
        <v>203.0769231</v>
      </c>
      <c r="L49" s="33">
        <f t="shared" si="4"/>
        <v>182.7692308</v>
      </c>
      <c r="M49" s="65">
        <v>180.0</v>
      </c>
      <c r="N49" s="34"/>
      <c r="O49" s="34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</row>
    <row r="50">
      <c r="A50" s="20">
        <v>49.0</v>
      </c>
      <c r="B50" s="23" t="s">
        <v>329</v>
      </c>
      <c r="C50" s="23" t="s">
        <v>330</v>
      </c>
      <c r="D50" s="88" t="s">
        <v>331</v>
      </c>
      <c r="E50" s="25"/>
      <c r="F50" s="27">
        <v>1.0</v>
      </c>
      <c r="G50" s="27">
        <v>5760.0</v>
      </c>
      <c r="H50" s="25">
        <f t="shared" si="1"/>
        <v>5760</v>
      </c>
      <c r="I50" s="20" t="s">
        <v>23</v>
      </c>
      <c r="J50" s="33">
        <f t="shared" si="2"/>
        <v>88.61538462</v>
      </c>
      <c r="K50" s="33">
        <f t="shared" si="3"/>
        <v>221.5384615</v>
      </c>
      <c r="L50" s="33">
        <f t="shared" si="4"/>
        <v>199.3846154</v>
      </c>
      <c r="M50" s="34"/>
      <c r="N50" s="34"/>
      <c r="O50" s="34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</row>
    <row r="51">
      <c r="A51" s="20">
        <v>50.0</v>
      </c>
      <c r="B51" s="23" t="s">
        <v>332</v>
      </c>
      <c r="C51" s="23" t="s">
        <v>333</v>
      </c>
      <c r="D51" s="88" t="s">
        <v>334</v>
      </c>
      <c r="E51" s="25"/>
      <c r="F51" s="27">
        <v>1.0</v>
      </c>
      <c r="G51" s="27">
        <v>5760.0</v>
      </c>
      <c r="H51" s="25">
        <f t="shared" si="1"/>
        <v>5760</v>
      </c>
      <c r="I51" s="20" t="s">
        <v>23</v>
      </c>
      <c r="J51" s="33">
        <f t="shared" si="2"/>
        <v>88.61538462</v>
      </c>
      <c r="K51" s="33">
        <f t="shared" si="3"/>
        <v>221.5384615</v>
      </c>
      <c r="L51" s="33">
        <f t="shared" si="4"/>
        <v>199.3846154</v>
      </c>
      <c r="M51" s="34"/>
      <c r="N51" s="34"/>
      <c r="O51" s="34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</row>
    <row r="52">
      <c r="A52" s="20">
        <v>51.0</v>
      </c>
      <c r="B52" s="23" t="s">
        <v>335</v>
      </c>
      <c r="C52" s="23" t="s">
        <v>336</v>
      </c>
      <c r="D52" s="88" t="s">
        <v>337</v>
      </c>
      <c r="E52" s="25"/>
      <c r="F52" s="27">
        <v>1.0</v>
      </c>
      <c r="G52" s="27">
        <v>5760.0</v>
      </c>
      <c r="H52" s="25">
        <f t="shared" si="1"/>
        <v>5760</v>
      </c>
      <c r="I52" s="20" t="s">
        <v>23</v>
      </c>
      <c r="J52" s="33">
        <f t="shared" si="2"/>
        <v>88.61538462</v>
      </c>
      <c r="K52" s="33">
        <f t="shared" si="3"/>
        <v>221.5384615</v>
      </c>
      <c r="L52" s="33">
        <f t="shared" si="4"/>
        <v>199.3846154</v>
      </c>
      <c r="M52" s="34"/>
      <c r="N52" s="34"/>
      <c r="O52" s="34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</row>
    <row r="53">
      <c r="A53" s="20">
        <v>52.0</v>
      </c>
      <c r="B53" s="23" t="s">
        <v>338</v>
      </c>
      <c r="C53" s="23" t="s">
        <v>315</v>
      </c>
      <c r="D53" s="88" t="s">
        <v>339</v>
      </c>
      <c r="E53" s="25"/>
      <c r="F53" s="27">
        <v>1.0</v>
      </c>
      <c r="G53" s="27">
        <v>5760.0</v>
      </c>
      <c r="H53" s="25">
        <f t="shared" si="1"/>
        <v>5760</v>
      </c>
      <c r="I53" s="20" t="s">
        <v>23</v>
      </c>
      <c r="J53" s="33">
        <f t="shared" si="2"/>
        <v>88.61538462</v>
      </c>
      <c r="K53" s="33">
        <f t="shared" si="3"/>
        <v>221.5384615</v>
      </c>
      <c r="L53" s="33">
        <f t="shared" si="4"/>
        <v>199.3846154</v>
      </c>
      <c r="M53" s="65">
        <v>170.0</v>
      </c>
      <c r="N53" s="34"/>
      <c r="O53" s="34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</row>
    <row r="54">
      <c r="A54" s="20">
        <v>53.0</v>
      </c>
      <c r="B54" s="23" t="s">
        <v>341</v>
      </c>
      <c r="C54" s="23" t="s">
        <v>44</v>
      </c>
      <c r="D54" s="88" t="s">
        <v>342</v>
      </c>
      <c r="E54" s="25"/>
      <c r="F54" s="27">
        <v>1.0</v>
      </c>
      <c r="G54" s="27">
        <v>6160.0</v>
      </c>
      <c r="H54" s="25">
        <f t="shared" si="1"/>
        <v>6160</v>
      </c>
      <c r="I54" s="20" t="s">
        <v>23</v>
      </c>
      <c r="J54" s="33">
        <f t="shared" si="2"/>
        <v>94.76923077</v>
      </c>
      <c r="K54" s="33">
        <f t="shared" si="3"/>
        <v>236.9230769</v>
      </c>
      <c r="L54" s="33">
        <f t="shared" si="4"/>
        <v>213.2307692</v>
      </c>
      <c r="M54" s="34"/>
      <c r="N54" s="34"/>
      <c r="O54" s="34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>
      <c r="A55" s="20">
        <v>54.0</v>
      </c>
      <c r="B55" s="23" t="s">
        <v>343</v>
      </c>
      <c r="C55" s="23" t="s">
        <v>41</v>
      </c>
      <c r="D55" s="88" t="s">
        <v>344</v>
      </c>
      <c r="E55" s="25"/>
      <c r="F55" s="27">
        <v>1.0</v>
      </c>
      <c r="G55" s="27">
        <v>6160.0</v>
      </c>
      <c r="H55" s="25">
        <f t="shared" si="1"/>
        <v>6160</v>
      </c>
      <c r="I55" s="20" t="s">
        <v>23</v>
      </c>
      <c r="J55" s="33">
        <f t="shared" si="2"/>
        <v>94.76923077</v>
      </c>
      <c r="K55" s="33">
        <f t="shared" si="3"/>
        <v>236.9230769</v>
      </c>
      <c r="L55" s="33">
        <f t="shared" si="4"/>
        <v>213.2307692</v>
      </c>
      <c r="M55" s="34"/>
      <c r="N55" s="34"/>
      <c r="O55" s="34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</row>
    <row r="56">
      <c r="A56" s="20">
        <v>55.0</v>
      </c>
      <c r="B56" s="23" t="s">
        <v>345</v>
      </c>
      <c r="C56" s="23" t="s">
        <v>346</v>
      </c>
      <c r="D56" s="88" t="s">
        <v>347</v>
      </c>
      <c r="E56" s="89" t="s">
        <v>348</v>
      </c>
      <c r="F56" s="27">
        <v>1.0</v>
      </c>
      <c r="G56" s="27">
        <v>2240.0</v>
      </c>
      <c r="H56" s="25">
        <f t="shared" si="1"/>
        <v>2240</v>
      </c>
      <c r="I56" s="20" t="s">
        <v>152</v>
      </c>
      <c r="J56" s="33">
        <f t="shared" si="2"/>
        <v>34.46153846</v>
      </c>
      <c r="K56" s="33">
        <f t="shared" si="3"/>
        <v>86.15384615</v>
      </c>
      <c r="L56" s="33">
        <f t="shared" si="4"/>
        <v>77.53846154</v>
      </c>
      <c r="M56" s="34"/>
      <c r="N56" s="34"/>
      <c r="O56" s="34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</row>
    <row r="57">
      <c r="A57" s="20">
        <v>56.0</v>
      </c>
      <c r="B57" s="23" t="s">
        <v>349</v>
      </c>
      <c r="C57" s="23" t="s">
        <v>350</v>
      </c>
      <c r="D57" s="88" t="s">
        <v>351</v>
      </c>
      <c r="E57" s="25" t="s">
        <v>162</v>
      </c>
      <c r="F57" s="27">
        <v>1.0</v>
      </c>
      <c r="G57" s="27">
        <v>2240.0</v>
      </c>
      <c r="H57" s="25">
        <f t="shared" si="1"/>
        <v>2240</v>
      </c>
      <c r="I57" s="20" t="s">
        <v>152</v>
      </c>
      <c r="J57" s="33">
        <f t="shared" si="2"/>
        <v>34.46153846</v>
      </c>
      <c r="K57" s="33">
        <f t="shared" si="3"/>
        <v>86.15384615</v>
      </c>
      <c r="L57" s="33">
        <f t="shared" si="4"/>
        <v>77.53846154</v>
      </c>
      <c r="M57" s="34"/>
      <c r="N57" s="34"/>
      <c r="O57" s="34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</row>
    <row r="58">
      <c r="A58" s="20">
        <v>57.0</v>
      </c>
      <c r="B58" s="23" t="s">
        <v>352</v>
      </c>
      <c r="C58" s="23" t="s">
        <v>346</v>
      </c>
      <c r="D58" s="88" t="s">
        <v>353</v>
      </c>
      <c r="E58" s="25" t="s">
        <v>162</v>
      </c>
      <c r="F58" s="27">
        <v>1.0</v>
      </c>
      <c r="G58" s="27">
        <v>2240.0</v>
      </c>
      <c r="H58" s="25">
        <f t="shared" si="1"/>
        <v>2240</v>
      </c>
      <c r="I58" s="20" t="s">
        <v>152</v>
      </c>
      <c r="J58" s="33">
        <f t="shared" si="2"/>
        <v>34.46153846</v>
      </c>
      <c r="K58" s="33">
        <f t="shared" si="3"/>
        <v>86.15384615</v>
      </c>
      <c r="L58" s="33">
        <f t="shared" si="4"/>
        <v>77.53846154</v>
      </c>
      <c r="M58" s="34"/>
      <c r="N58" s="34"/>
      <c r="O58" s="34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</row>
    <row r="59">
      <c r="A59" s="20">
        <v>58.0</v>
      </c>
      <c r="B59" s="23" t="s">
        <v>355</v>
      </c>
      <c r="C59" s="44"/>
      <c r="D59" s="20" t="s">
        <v>356</v>
      </c>
      <c r="E59" s="89" t="s">
        <v>357</v>
      </c>
      <c r="F59" s="90">
        <v>1.0</v>
      </c>
      <c r="G59" s="90">
        <v>0.0</v>
      </c>
      <c r="H59" s="91">
        <v>0.0</v>
      </c>
      <c r="I59" s="46"/>
      <c r="J59" s="92" t="s">
        <v>358</v>
      </c>
      <c r="K59" s="92" t="s">
        <v>359</v>
      </c>
      <c r="L59" s="92" t="s">
        <v>360</v>
      </c>
      <c r="M59" s="93" t="s">
        <v>361</v>
      </c>
      <c r="N59" s="93"/>
      <c r="O59" s="94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>
      <c r="A60" s="20">
        <v>59.0</v>
      </c>
      <c r="B60" s="23" t="s">
        <v>362</v>
      </c>
      <c r="C60" s="23" t="s">
        <v>363</v>
      </c>
      <c r="D60" s="88" t="s">
        <v>364</v>
      </c>
      <c r="E60" s="25" t="s">
        <v>153</v>
      </c>
      <c r="F60" s="27">
        <v>1.0</v>
      </c>
      <c r="G60" s="27">
        <v>3040.0</v>
      </c>
      <c r="H60" s="25">
        <f t="shared" ref="H60:H62" si="5">F60*G60</f>
        <v>3040</v>
      </c>
      <c r="I60" s="20" t="s">
        <v>152</v>
      </c>
      <c r="J60" s="33">
        <f t="shared" ref="J60:J62" si="6">G60/65</f>
        <v>46.76923077</v>
      </c>
      <c r="K60" s="33">
        <f t="shared" ref="K60:K62" si="7">(J60*2.5)</f>
        <v>116.9230769</v>
      </c>
      <c r="L60" s="33">
        <f t="shared" ref="L60:L62" si="8">(K60*0.9)</f>
        <v>105.2307692</v>
      </c>
      <c r="M60" s="34"/>
      <c r="N60" s="34"/>
      <c r="O60" s="34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</row>
    <row r="61">
      <c r="A61" s="20">
        <v>60.0</v>
      </c>
      <c r="B61" s="23" t="s">
        <v>365</v>
      </c>
      <c r="C61" s="23" t="s">
        <v>366</v>
      </c>
      <c r="D61" s="88" t="s">
        <v>367</v>
      </c>
      <c r="E61" s="25" t="s">
        <v>153</v>
      </c>
      <c r="F61" s="27">
        <v>1.0</v>
      </c>
      <c r="G61" s="27">
        <v>3992.0</v>
      </c>
      <c r="H61" s="25">
        <f t="shared" si="5"/>
        <v>3992</v>
      </c>
      <c r="I61" s="20" t="s">
        <v>152</v>
      </c>
      <c r="J61" s="33">
        <f t="shared" si="6"/>
        <v>61.41538462</v>
      </c>
      <c r="K61" s="33">
        <f t="shared" si="7"/>
        <v>153.5384615</v>
      </c>
      <c r="L61" s="33">
        <f t="shared" si="8"/>
        <v>138.1846154</v>
      </c>
      <c r="M61" s="34"/>
      <c r="N61" s="34"/>
      <c r="O61" s="34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</row>
    <row r="62">
      <c r="A62" s="20">
        <v>61.0</v>
      </c>
      <c r="B62" s="23" t="s">
        <v>368</v>
      </c>
      <c r="C62" s="23" t="s">
        <v>366</v>
      </c>
      <c r="D62" s="88" t="s">
        <v>369</v>
      </c>
      <c r="E62" s="25" t="s">
        <v>162</v>
      </c>
      <c r="F62" s="27">
        <v>1.0</v>
      </c>
      <c r="G62" s="27">
        <v>3992.0</v>
      </c>
      <c r="H62" s="25">
        <f t="shared" si="5"/>
        <v>3992</v>
      </c>
      <c r="I62" s="20" t="s">
        <v>152</v>
      </c>
      <c r="J62" s="33">
        <f t="shared" si="6"/>
        <v>61.41538462</v>
      </c>
      <c r="K62" s="33">
        <f t="shared" si="7"/>
        <v>153.5384615</v>
      </c>
      <c r="L62" s="33">
        <f t="shared" si="8"/>
        <v>138.1846154</v>
      </c>
      <c r="M62" s="34"/>
      <c r="N62" s="34"/>
      <c r="O62" s="34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</row>
    <row r="63">
      <c r="A63" s="20">
        <v>62.0</v>
      </c>
      <c r="B63" s="23" t="s">
        <v>370</v>
      </c>
      <c r="C63" s="23" t="s">
        <v>371</v>
      </c>
      <c r="D63" s="88" t="s">
        <v>372</v>
      </c>
      <c r="E63" s="27" t="s">
        <v>153</v>
      </c>
      <c r="F63" s="27">
        <v>1.0</v>
      </c>
      <c r="G63" s="27">
        <v>3040.0</v>
      </c>
      <c r="H63" s="95">
        <v>3040.0</v>
      </c>
      <c r="I63" s="20"/>
      <c r="J63" s="96" t="s">
        <v>373</v>
      </c>
      <c r="K63" s="96" t="s">
        <v>374</v>
      </c>
      <c r="L63" s="96" t="s">
        <v>361</v>
      </c>
      <c r="M63" s="65"/>
      <c r="N63" s="34"/>
      <c r="O63" s="34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</row>
    <row r="64">
      <c r="A64" s="20">
        <v>63.0</v>
      </c>
      <c r="B64" s="23" t="s">
        <v>375</v>
      </c>
      <c r="C64" s="23" t="s">
        <v>371</v>
      </c>
      <c r="D64" s="88" t="s">
        <v>376</v>
      </c>
      <c r="E64" s="25" t="s">
        <v>162</v>
      </c>
      <c r="F64" s="27">
        <v>1.0</v>
      </c>
      <c r="G64" s="27">
        <v>3040.0</v>
      </c>
      <c r="H64" s="25">
        <f t="shared" ref="H64:H80" si="9">F64*G64</f>
        <v>3040</v>
      </c>
      <c r="I64" s="20" t="s">
        <v>152</v>
      </c>
      <c r="J64" s="33">
        <f t="shared" ref="J64:J79" si="10">G64/65</f>
        <v>46.76923077</v>
      </c>
      <c r="K64" s="33">
        <f t="shared" ref="K64:K86" si="11">(J64*2.5)</f>
        <v>116.9230769</v>
      </c>
      <c r="L64" s="33">
        <f t="shared" ref="L64:L86" si="12">(K64*0.9)</f>
        <v>105.2307692</v>
      </c>
      <c r="M64" s="34"/>
      <c r="N64" s="34"/>
      <c r="O64" s="34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</row>
    <row r="65">
      <c r="A65" s="20">
        <v>64.0</v>
      </c>
      <c r="B65" s="23" t="s">
        <v>378</v>
      </c>
      <c r="C65" s="23" t="s">
        <v>379</v>
      </c>
      <c r="D65" s="88" t="s">
        <v>380</v>
      </c>
      <c r="E65" s="25" t="s">
        <v>153</v>
      </c>
      <c r="F65" s="27">
        <v>1.0</v>
      </c>
      <c r="G65" s="27">
        <v>3840.0</v>
      </c>
      <c r="H65" s="25">
        <f t="shared" si="9"/>
        <v>3840</v>
      </c>
      <c r="I65" s="20" t="s">
        <v>152</v>
      </c>
      <c r="J65" s="33">
        <f t="shared" si="10"/>
        <v>59.07692308</v>
      </c>
      <c r="K65" s="33">
        <f t="shared" si="11"/>
        <v>147.6923077</v>
      </c>
      <c r="L65" s="33">
        <f t="shared" si="12"/>
        <v>132.9230769</v>
      </c>
      <c r="M65" s="34"/>
      <c r="N65" s="34"/>
      <c r="O65" s="34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</row>
    <row r="66">
      <c r="A66" s="20">
        <v>65.0</v>
      </c>
      <c r="B66" s="23" t="s">
        <v>381</v>
      </c>
      <c r="C66" s="23" t="s">
        <v>379</v>
      </c>
      <c r="D66" s="88" t="s">
        <v>382</v>
      </c>
      <c r="E66" s="25" t="s">
        <v>162</v>
      </c>
      <c r="F66" s="27">
        <v>1.0</v>
      </c>
      <c r="G66" s="27">
        <v>3840.0</v>
      </c>
      <c r="H66" s="25">
        <f t="shared" si="9"/>
        <v>3840</v>
      </c>
      <c r="I66" s="20" t="s">
        <v>152</v>
      </c>
      <c r="J66" s="33">
        <f t="shared" si="10"/>
        <v>59.07692308</v>
      </c>
      <c r="K66" s="33">
        <f t="shared" si="11"/>
        <v>147.6923077</v>
      </c>
      <c r="L66" s="33">
        <f t="shared" si="12"/>
        <v>132.9230769</v>
      </c>
      <c r="M66" s="34"/>
      <c r="N66" s="34"/>
      <c r="O66" s="34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</row>
    <row r="67">
      <c r="A67" s="20">
        <v>66.0</v>
      </c>
      <c r="B67" s="23" t="s">
        <v>383</v>
      </c>
      <c r="C67" s="23" t="s">
        <v>231</v>
      </c>
      <c r="D67" s="88" t="s">
        <v>384</v>
      </c>
      <c r="E67" s="25" t="s">
        <v>153</v>
      </c>
      <c r="F67" s="27">
        <v>1.0</v>
      </c>
      <c r="G67" s="27">
        <v>4160.0</v>
      </c>
      <c r="H67" s="25">
        <f t="shared" si="9"/>
        <v>4160</v>
      </c>
      <c r="I67" s="20" t="s">
        <v>152</v>
      </c>
      <c r="J67" s="33">
        <f t="shared" si="10"/>
        <v>64</v>
      </c>
      <c r="K67" s="33">
        <f t="shared" si="11"/>
        <v>160</v>
      </c>
      <c r="L67" s="33">
        <f t="shared" si="12"/>
        <v>144</v>
      </c>
      <c r="M67" s="34"/>
      <c r="N67" s="34"/>
      <c r="O67" s="34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</row>
    <row r="68">
      <c r="A68" s="20">
        <v>67.0</v>
      </c>
      <c r="B68" s="23" t="s">
        <v>385</v>
      </c>
      <c r="C68" s="23" t="s">
        <v>231</v>
      </c>
      <c r="D68" s="88" t="s">
        <v>386</v>
      </c>
      <c r="E68" s="25" t="s">
        <v>162</v>
      </c>
      <c r="F68" s="27">
        <v>1.0</v>
      </c>
      <c r="G68" s="27">
        <v>4160.0</v>
      </c>
      <c r="H68" s="25">
        <f t="shared" si="9"/>
        <v>4160</v>
      </c>
      <c r="I68" s="20" t="s">
        <v>152</v>
      </c>
      <c r="J68" s="33">
        <f t="shared" si="10"/>
        <v>64</v>
      </c>
      <c r="K68" s="33">
        <f t="shared" si="11"/>
        <v>160</v>
      </c>
      <c r="L68" s="33">
        <f t="shared" si="12"/>
        <v>144</v>
      </c>
      <c r="M68" s="34"/>
      <c r="N68" s="34"/>
      <c r="O68" s="34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</row>
    <row r="69">
      <c r="A69" s="20">
        <v>68.0</v>
      </c>
      <c r="B69" s="23" t="s">
        <v>387</v>
      </c>
      <c r="C69" s="23" t="s">
        <v>388</v>
      </c>
      <c r="D69" s="88" t="s">
        <v>389</v>
      </c>
      <c r="E69" s="25" t="s">
        <v>153</v>
      </c>
      <c r="F69" s="27">
        <v>1.0</v>
      </c>
      <c r="G69" s="27">
        <v>3120.0</v>
      </c>
      <c r="H69" s="25">
        <f t="shared" si="9"/>
        <v>3120</v>
      </c>
      <c r="I69" s="20" t="s">
        <v>152</v>
      </c>
      <c r="J69" s="33">
        <f t="shared" si="10"/>
        <v>48</v>
      </c>
      <c r="K69" s="33">
        <f t="shared" si="11"/>
        <v>120</v>
      </c>
      <c r="L69" s="33">
        <f t="shared" si="12"/>
        <v>108</v>
      </c>
      <c r="M69" s="34"/>
      <c r="N69" s="34"/>
      <c r="O69" s="34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</row>
    <row r="70">
      <c r="A70" s="20">
        <v>69.0</v>
      </c>
      <c r="B70" s="23" t="s">
        <v>390</v>
      </c>
      <c r="C70" s="23" t="s">
        <v>388</v>
      </c>
      <c r="D70" s="88" t="s">
        <v>391</v>
      </c>
      <c r="E70" s="25" t="s">
        <v>162</v>
      </c>
      <c r="F70" s="27">
        <v>1.0</v>
      </c>
      <c r="G70" s="27">
        <v>3120.0</v>
      </c>
      <c r="H70" s="25">
        <f t="shared" si="9"/>
        <v>3120</v>
      </c>
      <c r="I70" s="20" t="s">
        <v>152</v>
      </c>
      <c r="J70" s="33">
        <f t="shared" si="10"/>
        <v>48</v>
      </c>
      <c r="K70" s="33">
        <f t="shared" si="11"/>
        <v>120</v>
      </c>
      <c r="L70" s="33">
        <f t="shared" si="12"/>
        <v>108</v>
      </c>
      <c r="M70" s="34"/>
      <c r="N70" s="34"/>
      <c r="O70" s="34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</row>
    <row r="71">
      <c r="A71" s="20">
        <v>70.0</v>
      </c>
      <c r="B71" s="23" t="s">
        <v>392</v>
      </c>
      <c r="C71" s="23" t="s">
        <v>393</v>
      </c>
      <c r="D71" s="88" t="s">
        <v>394</v>
      </c>
      <c r="E71" s="25" t="s">
        <v>153</v>
      </c>
      <c r="F71" s="27">
        <v>1.0</v>
      </c>
      <c r="G71" s="27">
        <v>3920.0</v>
      </c>
      <c r="H71" s="25">
        <f t="shared" si="9"/>
        <v>3920</v>
      </c>
      <c r="I71" s="20" t="s">
        <v>152</v>
      </c>
      <c r="J71" s="33">
        <f t="shared" si="10"/>
        <v>60.30769231</v>
      </c>
      <c r="K71" s="33">
        <f t="shared" si="11"/>
        <v>150.7692308</v>
      </c>
      <c r="L71" s="33">
        <f t="shared" si="12"/>
        <v>135.6923077</v>
      </c>
      <c r="M71" s="34"/>
      <c r="N71" s="34"/>
      <c r="O71" s="34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</row>
    <row r="72">
      <c r="A72" s="49">
        <v>71.0</v>
      </c>
      <c r="B72" s="68" t="s">
        <v>395</v>
      </c>
      <c r="C72" s="68" t="s">
        <v>393</v>
      </c>
      <c r="D72" s="99" t="s">
        <v>396</v>
      </c>
      <c r="E72" s="55" t="s">
        <v>162</v>
      </c>
      <c r="F72" s="49">
        <v>1.0</v>
      </c>
      <c r="G72" s="49">
        <v>3920.0</v>
      </c>
      <c r="H72" s="55">
        <f t="shared" si="9"/>
        <v>3920</v>
      </c>
      <c r="I72" s="49" t="s">
        <v>152</v>
      </c>
      <c r="J72" s="56">
        <f t="shared" si="10"/>
        <v>60.30769231</v>
      </c>
      <c r="K72" s="56">
        <f t="shared" si="11"/>
        <v>150.7692308</v>
      </c>
      <c r="L72" s="56">
        <f t="shared" si="12"/>
        <v>135.6923077</v>
      </c>
      <c r="M72" s="60">
        <v>136.0</v>
      </c>
      <c r="N72" s="60" t="s">
        <v>397</v>
      </c>
      <c r="O72" s="72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</row>
    <row r="73">
      <c r="A73" s="20">
        <v>72.0</v>
      </c>
      <c r="B73" s="23" t="s">
        <v>398</v>
      </c>
      <c r="C73" s="23" t="s">
        <v>399</v>
      </c>
      <c r="D73" s="88" t="s">
        <v>400</v>
      </c>
      <c r="E73" s="25" t="s">
        <v>162</v>
      </c>
      <c r="F73" s="27">
        <v>1.0</v>
      </c>
      <c r="G73" s="27">
        <v>3840.0</v>
      </c>
      <c r="H73" s="25">
        <f t="shared" si="9"/>
        <v>3840</v>
      </c>
      <c r="I73" s="20" t="s">
        <v>152</v>
      </c>
      <c r="J73" s="33">
        <f t="shared" si="10"/>
        <v>59.07692308</v>
      </c>
      <c r="K73" s="33">
        <f t="shared" si="11"/>
        <v>147.6923077</v>
      </c>
      <c r="L73" s="33">
        <f t="shared" si="12"/>
        <v>132.9230769</v>
      </c>
      <c r="M73" s="34"/>
      <c r="N73" s="34"/>
      <c r="O73" s="34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</row>
    <row r="74">
      <c r="A74" s="20">
        <v>73.0</v>
      </c>
      <c r="B74" s="23" t="s">
        <v>401</v>
      </c>
      <c r="C74" s="23" t="s">
        <v>402</v>
      </c>
      <c r="D74" s="88" t="s">
        <v>403</v>
      </c>
      <c r="E74" s="25" t="s">
        <v>153</v>
      </c>
      <c r="F74" s="27">
        <v>1.0</v>
      </c>
      <c r="G74" s="27">
        <v>3840.0</v>
      </c>
      <c r="H74" s="25">
        <f t="shared" si="9"/>
        <v>3840</v>
      </c>
      <c r="I74" s="20" t="s">
        <v>152</v>
      </c>
      <c r="J74" s="33">
        <f t="shared" si="10"/>
        <v>59.07692308</v>
      </c>
      <c r="K74" s="33">
        <f t="shared" si="11"/>
        <v>147.6923077</v>
      </c>
      <c r="L74" s="33">
        <f t="shared" si="12"/>
        <v>132.9230769</v>
      </c>
      <c r="M74" s="34"/>
      <c r="N74" s="34"/>
      <c r="O74" s="34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</row>
    <row r="75">
      <c r="A75" s="20">
        <v>74.0</v>
      </c>
      <c r="B75" s="23" t="s">
        <v>404</v>
      </c>
      <c r="C75" s="23" t="s">
        <v>402</v>
      </c>
      <c r="D75" s="88" t="s">
        <v>405</v>
      </c>
      <c r="E75" s="25" t="s">
        <v>162</v>
      </c>
      <c r="F75" s="27">
        <v>1.0</v>
      </c>
      <c r="G75" s="27">
        <v>3840.0</v>
      </c>
      <c r="H75" s="25">
        <f t="shared" si="9"/>
        <v>3840</v>
      </c>
      <c r="I75" s="20" t="s">
        <v>152</v>
      </c>
      <c r="J75" s="33">
        <f t="shared" si="10"/>
        <v>59.07692308</v>
      </c>
      <c r="K75" s="33">
        <f t="shared" si="11"/>
        <v>147.6923077</v>
      </c>
      <c r="L75" s="33">
        <f t="shared" si="12"/>
        <v>132.9230769</v>
      </c>
      <c r="M75" s="34"/>
      <c r="N75" s="34"/>
      <c r="O75" s="34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</row>
    <row r="76">
      <c r="A76" s="20">
        <v>75.0</v>
      </c>
      <c r="B76" s="23" t="s">
        <v>406</v>
      </c>
      <c r="C76" s="23" t="s">
        <v>407</v>
      </c>
      <c r="D76" s="88" t="s">
        <v>408</v>
      </c>
      <c r="E76" s="25" t="s">
        <v>153</v>
      </c>
      <c r="F76" s="27">
        <v>1.0</v>
      </c>
      <c r="G76" s="27">
        <v>3840.0</v>
      </c>
      <c r="H76" s="25">
        <f t="shared" si="9"/>
        <v>3840</v>
      </c>
      <c r="I76" s="20" t="s">
        <v>152</v>
      </c>
      <c r="J76" s="33">
        <f t="shared" si="10"/>
        <v>59.07692308</v>
      </c>
      <c r="K76" s="33">
        <f t="shared" si="11"/>
        <v>147.6923077</v>
      </c>
      <c r="L76" s="33">
        <f t="shared" si="12"/>
        <v>132.9230769</v>
      </c>
      <c r="M76" s="34"/>
      <c r="N76" s="34"/>
      <c r="O76" s="34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</row>
    <row r="77">
      <c r="A77" s="20">
        <v>76.0</v>
      </c>
      <c r="B77" s="23" t="s">
        <v>409</v>
      </c>
      <c r="C77" s="23" t="s">
        <v>407</v>
      </c>
      <c r="D77" s="88" t="s">
        <v>410</v>
      </c>
      <c r="E77" s="25" t="s">
        <v>162</v>
      </c>
      <c r="F77" s="27">
        <v>1.0</v>
      </c>
      <c r="G77" s="27">
        <v>3840.0</v>
      </c>
      <c r="H77" s="25">
        <f t="shared" si="9"/>
        <v>3840</v>
      </c>
      <c r="I77" s="20" t="s">
        <v>152</v>
      </c>
      <c r="J77" s="33">
        <f t="shared" si="10"/>
        <v>59.07692308</v>
      </c>
      <c r="K77" s="33">
        <f t="shared" si="11"/>
        <v>147.6923077</v>
      </c>
      <c r="L77" s="33">
        <f t="shared" si="12"/>
        <v>132.9230769</v>
      </c>
      <c r="M77" s="34"/>
      <c r="N77" s="34"/>
      <c r="O77" s="34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</row>
    <row r="78">
      <c r="A78" s="20">
        <v>77.0</v>
      </c>
      <c r="B78" s="23" t="s">
        <v>411</v>
      </c>
      <c r="C78" s="23" t="s">
        <v>151</v>
      </c>
      <c r="D78" s="88" t="s">
        <v>412</v>
      </c>
      <c r="E78" s="25" t="s">
        <v>162</v>
      </c>
      <c r="F78" s="27">
        <v>1.0</v>
      </c>
      <c r="G78" s="27">
        <v>5440.0</v>
      </c>
      <c r="H78" s="25">
        <f t="shared" si="9"/>
        <v>5440</v>
      </c>
      <c r="I78" s="20" t="s">
        <v>152</v>
      </c>
      <c r="J78" s="33">
        <f t="shared" si="10"/>
        <v>83.69230769</v>
      </c>
      <c r="K78" s="33">
        <f t="shared" si="11"/>
        <v>209.2307692</v>
      </c>
      <c r="L78" s="33">
        <f t="shared" si="12"/>
        <v>188.3076923</v>
      </c>
      <c r="M78" s="34"/>
      <c r="N78" s="34"/>
      <c r="O78" s="34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</row>
    <row r="79">
      <c r="A79" s="20">
        <v>78.0</v>
      </c>
      <c r="B79" s="23" t="s">
        <v>413</v>
      </c>
      <c r="C79" s="23" t="s">
        <v>181</v>
      </c>
      <c r="D79" s="88" t="s">
        <v>182</v>
      </c>
      <c r="E79" s="25" t="s">
        <v>162</v>
      </c>
      <c r="F79" s="27">
        <v>1.0</v>
      </c>
      <c r="G79" s="27">
        <v>4160.0</v>
      </c>
      <c r="H79" s="25">
        <f t="shared" si="9"/>
        <v>4160</v>
      </c>
      <c r="I79" s="20" t="s">
        <v>152</v>
      </c>
      <c r="J79" s="33">
        <f t="shared" si="10"/>
        <v>64</v>
      </c>
      <c r="K79" s="33">
        <f t="shared" si="11"/>
        <v>160</v>
      </c>
      <c r="L79" s="33">
        <f t="shared" si="12"/>
        <v>144</v>
      </c>
      <c r="M79" s="34"/>
      <c r="N79" s="34"/>
      <c r="O79" s="34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</row>
    <row r="80">
      <c r="A80" s="20">
        <v>55.0</v>
      </c>
      <c r="B80" s="23" t="s">
        <v>414</v>
      </c>
      <c r="C80" s="23" t="s">
        <v>415</v>
      </c>
      <c r="D80" s="88" t="s">
        <v>416</v>
      </c>
      <c r="E80" s="25"/>
      <c r="F80" s="27">
        <v>1.0</v>
      </c>
      <c r="G80" s="27"/>
      <c r="H80" s="25">
        <f t="shared" si="9"/>
        <v>0</v>
      </c>
      <c r="I80" s="20" t="s">
        <v>23</v>
      </c>
      <c r="J80" s="96">
        <v>113.0</v>
      </c>
      <c r="K80" s="33">
        <f t="shared" si="11"/>
        <v>282.5</v>
      </c>
      <c r="L80" s="33">
        <f t="shared" si="12"/>
        <v>254.25</v>
      </c>
      <c r="M80" s="34"/>
      <c r="N80" s="34"/>
      <c r="O80" s="34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</row>
    <row r="81">
      <c r="A81" s="20">
        <v>56.0</v>
      </c>
      <c r="B81" s="23" t="s">
        <v>418</v>
      </c>
      <c r="C81" s="23" t="s">
        <v>419</v>
      </c>
      <c r="D81" s="88" t="s">
        <v>420</v>
      </c>
      <c r="E81" s="27"/>
      <c r="F81" s="27">
        <v>1.0</v>
      </c>
      <c r="G81" s="27"/>
      <c r="H81" s="25"/>
      <c r="I81" s="20" t="s">
        <v>23</v>
      </c>
      <c r="J81" s="96">
        <v>81.0</v>
      </c>
      <c r="K81" s="33">
        <f t="shared" si="11"/>
        <v>202.5</v>
      </c>
      <c r="L81" s="33">
        <f t="shared" si="12"/>
        <v>182.25</v>
      </c>
      <c r="M81" s="34"/>
      <c r="N81" s="34"/>
      <c r="O81" s="34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</row>
    <row r="82">
      <c r="A82" s="27">
        <v>57.0</v>
      </c>
      <c r="B82" s="104" t="s">
        <v>421</v>
      </c>
      <c r="C82" s="105" t="s">
        <v>422</v>
      </c>
      <c r="D82" s="106" t="s">
        <v>424</v>
      </c>
      <c r="E82" s="27"/>
      <c r="F82" s="27">
        <v>1.0</v>
      </c>
      <c r="G82" s="27"/>
      <c r="H82" s="25"/>
      <c r="I82" s="27" t="s">
        <v>23</v>
      </c>
      <c r="J82" s="96">
        <v>78.0</v>
      </c>
      <c r="K82" s="33">
        <f t="shared" si="11"/>
        <v>195</v>
      </c>
      <c r="L82" s="33">
        <f t="shared" si="12"/>
        <v>175.5</v>
      </c>
      <c r="M82" s="34"/>
      <c r="N82" s="34"/>
      <c r="O82" s="34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</row>
    <row r="83">
      <c r="A83" s="20">
        <v>58.0</v>
      </c>
      <c r="B83" s="23" t="s">
        <v>425</v>
      </c>
      <c r="C83" s="107" t="s">
        <v>426</v>
      </c>
      <c r="D83" s="108" t="s">
        <v>427</v>
      </c>
      <c r="E83" s="109"/>
      <c r="F83" s="110">
        <v>1.0</v>
      </c>
      <c r="G83" s="111"/>
      <c r="H83" s="109"/>
      <c r="I83" s="112" t="s">
        <v>23</v>
      </c>
      <c r="J83" s="113">
        <v>78.0</v>
      </c>
      <c r="K83" s="114">
        <f t="shared" si="11"/>
        <v>195</v>
      </c>
      <c r="L83" s="114">
        <f t="shared" si="12"/>
        <v>175.5</v>
      </c>
      <c r="M83" s="34"/>
      <c r="N83" s="34"/>
      <c r="O83" s="34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</row>
    <row r="84">
      <c r="A84" s="20">
        <v>59.0</v>
      </c>
      <c r="B84" s="23" t="s">
        <v>428</v>
      </c>
      <c r="C84" s="107" t="s">
        <v>429</v>
      </c>
      <c r="D84" s="108" t="s">
        <v>430</v>
      </c>
      <c r="E84" s="109"/>
      <c r="F84" s="110">
        <v>1.0</v>
      </c>
      <c r="G84" s="111"/>
      <c r="H84" s="109"/>
      <c r="I84" s="112" t="s">
        <v>23</v>
      </c>
      <c r="J84" s="113">
        <v>88.0</v>
      </c>
      <c r="K84" s="114">
        <f t="shared" si="11"/>
        <v>220</v>
      </c>
      <c r="L84" s="114">
        <f t="shared" si="12"/>
        <v>198</v>
      </c>
      <c r="M84" s="34"/>
      <c r="N84" s="34"/>
      <c r="O84" s="34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</row>
    <row r="85">
      <c r="A85" s="20">
        <v>60.0</v>
      </c>
      <c r="B85" s="23" t="s">
        <v>431</v>
      </c>
      <c r="C85" s="107" t="s">
        <v>195</v>
      </c>
      <c r="D85" s="108" t="s">
        <v>432</v>
      </c>
      <c r="E85" s="109"/>
      <c r="F85" s="110">
        <v>1.0</v>
      </c>
      <c r="G85" s="111"/>
      <c r="H85" s="109"/>
      <c r="I85" s="112" t="s">
        <v>23</v>
      </c>
      <c r="J85" s="113">
        <v>88.0</v>
      </c>
      <c r="K85" s="114">
        <f t="shared" si="11"/>
        <v>220</v>
      </c>
      <c r="L85" s="114">
        <f t="shared" si="12"/>
        <v>198</v>
      </c>
      <c r="M85" s="34"/>
      <c r="N85" s="34"/>
      <c r="O85" s="34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</row>
    <row r="86">
      <c r="A86" s="20">
        <v>61.0</v>
      </c>
      <c r="B86" s="23" t="s">
        <v>433</v>
      </c>
      <c r="C86" s="107" t="s">
        <v>434</v>
      </c>
      <c r="D86" s="108" t="s">
        <v>435</v>
      </c>
      <c r="E86" s="109"/>
      <c r="F86" s="110">
        <v>1.0</v>
      </c>
      <c r="G86" s="111"/>
      <c r="H86" s="109"/>
      <c r="I86" s="112" t="s">
        <v>23</v>
      </c>
      <c r="J86" s="115">
        <v>75.0</v>
      </c>
      <c r="K86" s="114">
        <f t="shared" si="11"/>
        <v>187.5</v>
      </c>
      <c r="L86" s="114">
        <f t="shared" si="12"/>
        <v>168.75</v>
      </c>
      <c r="M86" s="34"/>
      <c r="N86" s="34"/>
      <c r="O86" s="34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</row>
    <row r="87">
      <c r="A87" s="20">
        <v>62.0</v>
      </c>
      <c r="B87" s="23" t="s">
        <v>436</v>
      </c>
      <c r="C87" s="116" t="s">
        <v>437</v>
      </c>
      <c r="D87" s="117"/>
      <c r="E87" s="27" t="s">
        <v>357</v>
      </c>
      <c r="F87" s="27">
        <v>1.0</v>
      </c>
      <c r="G87" s="27"/>
      <c r="H87" s="25"/>
      <c r="I87" s="20" t="s">
        <v>23</v>
      </c>
      <c r="J87" s="118" t="s">
        <v>438</v>
      </c>
      <c r="K87" s="96" t="s">
        <v>359</v>
      </c>
      <c r="L87" s="96" t="s">
        <v>361</v>
      </c>
      <c r="M87" s="34"/>
      <c r="N87" s="34"/>
      <c r="O87" s="34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</row>
    <row r="88">
      <c r="A88" s="20">
        <v>63.0</v>
      </c>
      <c r="B88" s="23" t="s">
        <v>439</v>
      </c>
      <c r="C88" s="116"/>
      <c r="D88" s="117"/>
      <c r="E88" s="25"/>
      <c r="F88" s="27">
        <v>1.0</v>
      </c>
      <c r="G88" s="27"/>
      <c r="H88" s="25"/>
      <c r="I88" s="20" t="s">
        <v>23</v>
      </c>
      <c r="J88" s="118"/>
      <c r="K88" s="33">
        <f t="shared" ref="K88:K125" si="13">(J88*2.5)</f>
        <v>0</v>
      </c>
      <c r="L88" s="33">
        <f t="shared" ref="L88:L125" si="14">(K88*0.9)</f>
        <v>0</v>
      </c>
      <c r="M88" s="34"/>
      <c r="N88" s="34"/>
      <c r="O88" s="34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</row>
    <row r="89">
      <c r="A89" s="20">
        <v>64.0</v>
      </c>
      <c r="B89" s="23" t="s">
        <v>440</v>
      </c>
      <c r="C89" s="116"/>
      <c r="D89" s="117"/>
      <c r="E89" s="25"/>
      <c r="F89" s="27">
        <v>1.0</v>
      </c>
      <c r="G89" s="27"/>
      <c r="H89" s="25"/>
      <c r="I89" s="20" t="s">
        <v>23</v>
      </c>
      <c r="J89" s="118"/>
      <c r="K89" s="33">
        <f t="shared" si="13"/>
        <v>0</v>
      </c>
      <c r="L89" s="33">
        <f t="shared" si="14"/>
        <v>0</v>
      </c>
      <c r="M89" s="34"/>
      <c r="N89" s="34"/>
      <c r="O89" s="34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</row>
    <row r="90">
      <c r="A90" s="20">
        <v>65.0</v>
      </c>
      <c r="B90" s="23" t="s">
        <v>441</v>
      </c>
      <c r="C90" s="116"/>
      <c r="D90" s="117"/>
      <c r="E90" s="25"/>
      <c r="F90" s="27">
        <v>1.0</v>
      </c>
      <c r="G90" s="27"/>
      <c r="H90" s="25"/>
      <c r="I90" s="20" t="s">
        <v>23</v>
      </c>
      <c r="J90" s="118"/>
      <c r="K90" s="33">
        <f t="shared" si="13"/>
        <v>0</v>
      </c>
      <c r="L90" s="33">
        <f t="shared" si="14"/>
        <v>0</v>
      </c>
      <c r="M90" s="34"/>
      <c r="N90" s="34"/>
      <c r="O90" s="34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</row>
    <row r="91">
      <c r="A91" s="20">
        <v>66.0</v>
      </c>
      <c r="B91" s="23" t="s">
        <v>442</v>
      </c>
      <c r="C91" s="116"/>
      <c r="D91" s="117"/>
      <c r="E91" s="25"/>
      <c r="F91" s="27">
        <v>1.0</v>
      </c>
      <c r="G91" s="27"/>
      <c r="H91" s="25"/>
      <c r="I91" s="20" t="s">
        <v>23</v>
      </c>
      <c r="J91" s="118"/>
      <c r="K91" s="33">
        <f t="shared" si="13"/>
        <v>0</v>
      </c>
      <c r="L91" s="33">
        <f t="shared" si="14"/>
        <v>0</v>
      </c>
      <c r="M91" s="34"/>
      <c r="N91" s="34"/>
      <c r="O91" s="34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</row>
    <row r="92">
      <c r="A92" s="20">
        <v>67.0</v>
      </c>
      <c r="B92" s="23" t="s">
        <v>443</v>
      </c>
      <c r="C92" s="116"/>
      <c r="D92" s="117"/>
      <c r="E92" s="25"/>
      <c r="F92" s="27">
        <v>1.0</v>
      </c>
      <c r="G92" s="27"/>
      <c r="H92" s="25"/>
      <c r="I92" s="20" t="s">
        <v>23</v>
      </c>
      <c r="J92" s="118"/>
      <c r="K92" s="33">
        <f t="shared" si="13"/>
        <v>0</v>
      </c>
      <c r="L92" s="33">
        <f t="shared" si="14"/>
        <v>0</v>
      </c>
      <c r="M92" s="34"/>
      <c r="N92" s="34"/>
      <c r="O92" s="34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</row>
    <row r="93">
      <c r="A93" s="20">
        <v>68.0</v>
      </c>
      <c r="B93" s="23" t="s">
        <v>444</v>
      </c>
      <c r="C93" s="116"/>
      <c r="D93" s="117"/>
      <c r="E93" s="25"/>
      <c r="F93" s="27">
        <v>1.0</v>
      </c>
      <c r="G93" s="27"/>
      <c r="H93" s="25"/>
      <c r="I93" s="20" t="s">
        <v>23</v>
      </c>
      <c r="J93" s="118"/>
      <c r="K93" s="33">
        <f t="shared" si="13"/>
        <v>0</v>
      </c>
      <c r="L93" s="33">
        <f t="shared" si="14"/>
        <v>0</v>
      </c>
      <c r="M93" s="34"/>
      <c r="N93" s="34"/>
      <c r="O93" s="34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</row>
    <row r="94">
      <c r="A94" s="20">
        <v>69.0</v>
      </c>
      <c r="B94" s="23" t="s">
        <v>445</v>
      </c>
      <c r="C94" s="116"/>
      <c r="D94" s="117"/>
      <c r="E94" s="25"/>
      <c r="F94" s="27">
        <v>1.0</v>
      </c>
      <c r="G94" s="27"/>
      <c r="H94" s="25"/>
      <c r="I94" s="20" t="s">
        <v>23</v>
      </c>
      <c r="J94" s="118"/>
      <c r="K94" s="33">
        <f t="shared" si="13"/>
        <v>0</v>
      </c>
      <c r="L94" s="33">
        <f t="shared" si="14"/>
        <v>0</v>
      </c>
      <c r="M94" s="34"/>
      <c r="N94" s="34"/>
      <c r="O94" s="34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</row>
    <row r="95">
      <c r="A95" s="20">
        <v>70.0</v>
      </c>
      <c r="B95" s="23" t="s">
        <v>446</v>
      </c>
      <c r="C95" s="116"/>
      <c r="D95" s="117"/>
      <c r="E95" s="25"/>
      <c r="F95" s="27">
        <v>1.0</v>
      </c>
      <c r="G95" s="27"/>
      <c r="H95" s="25"/>
      <c r="I95" s="20" t="s">
        <v>23</v>
      </c>
      <c r="J95" s="118"/>
      <c r="K95" s="33">
        <f t="shared" si="13"/>
        <v>0</v>
      </c>
      <c r="L95" s="33">
        <f t="shared" si="14"/>
        <v>0</v>
      </c>
      <c r="M95" s="34"/>
      <c r="N95" s="34"/>
      <c r="O95" s="34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</row>
    <row r="96">
      <c r="A96" s="20">
        <v>71.0</v>
      </c>
      <c r="B96" s="23" t="s">
        <v>447</v>
      </c>
      <c r="C96" s="116"/>
      <c r="D96" s="117"/>
      <c r="E96" s="25"/>
      <c r="F96" s="27">
        <v>1.0</v>
      </c>
      <c r="G96" s="27"/>
      <c r="H96" s="25"/>
      <c r="I96" s="20" t="s">
        <v>23</v>
      </c>
      <c r="J96" s="118"/>
      <c r="K96" s="33">
        <f t="shared" si="13"/>
        <v>0</v>
      </c>
      <c r="L96" s="33">
        <f t="shared" si="14"/>
        <v>0</v>
      </c>
      <c r="M96" s="34"/>
      <c r="N96" s="34"/>
      <c r="O96" s="34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</row>
    <row r="97">
      <c r="A97" s="20">
        <v>72.0</v>
      </c>
      <c r="B97" s="23" t="s">
        <v>448</v>
      </c>
      <c r="C97" s="116"/>
      <c r="D97" s="117"/>
      <c r="E97" s="25"/>
      <c r="F97" s="27">
        <v>1.0</v>
      </c>
      <c r="G97" s="27"/>
      <c r="H97" s="25"/>
      <c r="I97" s="20" t="s">
        <v>23</v>
      </c>
      <c r="J97" s="118"/>
      <c r="K97" s="33">
        <f t="shared" si="13"/>
        <v>0</v>
      </c>
      <c r="L97" s="33">
        <f t="shared" si="14"/>
        <v>0</v>
      </c>
      <c r="M97" s="34"/>
      <c r="N97" s="34"/>
      <c r="O97" s="34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</row>
    <row r="98">
      <c r="A98" s="20">
        <v>73.0</v>
      </c>
      <c r="B98" s="23" t="s">
        <v>449</v>
      </c>
      <c r="C98" s="116"/>
      <c r="D98" s="117"/>
      <c r="E98" s="25"/>
      <c r="F98" s="27">
        <v>1.0</v>
      </c>
      <c r="G98" s="27"/>
      <c r="H98" s="25"/>
      <c r="I98" s="20" t="s">
        <v>23</v>
      </c>
      <c r="J98" s="118"/>
      <c r="K98" s="33">
        <f t="shared" si="13"/>
        <v>0</v>
      </c>
      <c r="L98" s="33">
        <f t="shared" si="14"/>
        <v>0</v>
      </c>
      <c r="M98" s="34"/>
      <c r="N98" s="34"/>
      <c r="O98" s="34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</row>
    <row r="99">
      <c r="A99" s="20">
        <v>74.0</v>
      </c>
      <c r="B99" s="23" t="s">
        <v>450</v>
      </c>
      <c r="C99" s="116"/>
      <c r="D99" s="117"/>
      <c r="E99" s="25"/>
      <c r="F99" s="27">
        <v>1.0</v>
      </c>
      <c r="G99" s="27"/>
      <c r="H99" s="25"/>
      <c r="I99" s="20" t="s">
        <v>23</v>
      </c>
      <c r="J99" s="118"/>
      <c r="K99" s="33">
        <f t="shared" si="13"/>
        <v>0</v>
      </c>
      <c r="L99" s="33">
        <f t="shared" si="14"/>
        <v>0</v>
      </c>
      <c r="M99" s="34"/>
      <c r="N99" s="34"/>
      <c r="O99" s="34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</row>
    <row r="100">
      <c r="A100" s="20">
        <v>75.0</v>
      </c>
      <c r="B100" s="23" t="s">
        <v>451</v>
      </c>
      <c r="C100" s="116"/>
      <c r="D100" s="117"/>
      <c r="E100" s="25"/>
      <c r="F100" s="27">
        <v>1.0</v>
      </c>
      <c r="G100" s="27"/>
      <c r="H100" s="25"/>
      <c r="I100" s="20" t="s">
        <v>23</v>
      </c>
      <c r="J100" s="118"/>
      <c r="K100" s="33">
        <f t="shared" si="13"/>
        <v>0</v>
      </c>
      <c r="L100" s="33">
        <f t="shared" si="14"/>
        <v>0</v>
      </c>
      <c r="M100" s="34"/>
      <c r="N100" s="34"/>
      <c r="O100" s="34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</row>
    <row r="101">
      <c r="A101" s="20">
        <v>76.0</v>
      </c>
      <c r="B101" s="23" t="s">
        <v>452</v>
      </c>
      <c r="C101" s="116"/>
      <c r="D101" s="117"/>
      <c r="E101" s="25"/>
      <c r="F101" s="27">
        <v>1.0</v>
      </c>
      <c r="G101" s="27"/>
      <c r="H101" s="25"/>
      <c r="I101" s="20" t="s">
        <v>23</v>
      </c>
      <c r="J101" s="118"/>
      <c r="K101" s="33">
        <f t="shared" si="13"/>
        <v>0</v>
      </c>
      <c r="L101" s="33">
        <f t="shared" si="14"/>
        <v>0</v>
      </c>
      <c r="M101" s="34"/>
      <c r="N101" s="34"/>
      <c r="O101" s="34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</row>
    <row r="102">
      <c r="A102" s="20">
        <v>77.0</v>
      </c>
      <c r="B102" s="23" t="s">
        <v>453</v>
      </c>
      <c r="C102" s="116"/>
      <c r="D102" s="117"/>
      <c r="E102" s="25"/>
      <c r="F102" s="27">
        <v>1.0</v>
      </c>
      <c r="G102" s="27"/>
      <c r="H102" s="25"/>
      <c r="I102" s="20" t="s">
        <v>23</v>
      </c>
      <c r="J102" s="118"/>
      <c r="K102" s="33">
        <f t="shared" si="13"/>
        <v>0</v>
      </c>
      <c r="L102" s="33">
        <f t="shared" si="14"/>
        <v>0</v>
      </c>
      <c r="M102" s="34"/>
      <c r="N102" s="34"/>
      <c r="O102" s="34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</row>
    <row r="103">
      <c r="A103" s="20">
        <v>78.0</v>
      </c>
      <c r="B103" s="23" t="s">
        <v>454</v>
      </c>
      <c r="C103" s="116"/>
      <c r="D103" s="117"/>
      <c r="E103" s="25"/>
      <c r="F103" s="27">
        <v>1.0</v>
      </c>
      <c r="G103" s="27"/>
      <c r="H103" s="25"/>
      <c r="I103" s="20" t="s">
        <v>23</v>
      </c>
      <c r="J103" s="118"/>
      <c r="K103" s="33">
        <f t="shared" si="13"/>
        <v>0</v>
      </c>
      <c r="L103" s="33">
        <f t="shared" si="14"/>
        <v>0</v>
      </c>
      <c r="M103" s="34"/>
      <c r="N103" s="34"/>
      <c r="O103" s="34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</row>
    <row r="104">
      <c r="A104" s="20">
        <v>79.0</v>
      </c>
      <c r="B104" s="23" t="s">
        <v>455</v>
      </c>
      <c r="C104" s="116"/>
      <c r="D104" s="117"/>
      <c r="E104" s="25"/>
      <c r="F104" s="27">
        <v>1.0</v>
      </c>
      <c r="G104" s="27"/>
      <c r="H104" s="25"/>
      <c r="I104" s="20" t="s">
        <v>23</v>
      </c>
      <c r="J104" s="118"/>
      <c r="K104" s="33">
        <f t="shared" si="13"/>
        <v>0</v>
      </c>
      <c r="L104" s="33">
        <f t="shared" si="14"/>
        <v>0</v>
      </c>
      <c r="M104" s="34"/>
      <c r="N104" s="34"/>
      <c r="O104" s="34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</row>
    <row r="105">
      <c r="A105" s="20">
        <v>80.0</v>
      </c>
      <c r="B105" s="23" t="s">
        <v>456</v>
      </c>
      <c r="C105" s="116"/>
      <c r="D105" s="117"/>
      <c r="E105" s="25"/>
      <c r="F105" s="27">
        <v>1.0</v>
      </c>
      <c r="G105" s="27"/>
      <c r="H105" s="25"/>
      <c r="I105" s="20" t="s">
        <v>23</v>
      </c>
      <c r="J105" s="118"/>
      <c r="K105" s="33">
        <f t="shared" si="13"/>
        <v>0</v>
      </c>
      <c r="L105" s="33">
        <f t="shared" si="14"/>
        <v>0</v>
      </c>
      <c r="M105" s="34"/>
      <c r="N105" s="34"/>
      <c r="O105" s="34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</row>
    <row r="106">
      <c r="A106" s="20">
        <v>81.0</v>
      </c>
      <c r="B106" s="23" t="s">
        <v>457</v>
      </c>
      <c r="C106" s="116"/>
      <c r="D106" s="117"/>
      <c r="E106" s="25"/>
      <c r="F106" s="27">
        <v>1.0</v>
      </c>
      <c r="G106" s="27"/>
      <c r="H106" s="25"/>
      <c r="I106" s="20" t="s">
        <v>23</v>
      </c>
      <c r="J106" s="118"/>
      <c r="K106" s="33">
        <f t="shared" si="13"/>
        <v>0</v>
      </c>
      <c r="L106" s="33">
        <f t="shared" si="14"/>
        <v>0</v>
      </c>
      <c r="M106" s="34"/>
      <c r="N106" s="34"/>
      <c r="O106" s="34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</row>
    <row r="107">
      <c r="A107" s="20">
        <v>82.0</v>
      </c>
      <c r="B107" s="23" t="s">
        <v>458</v>
      </c>
      <c r="C107" s="116"/>
      <c r="D107" s="117"/>
      <c r="E107" s="25"/>
      <c r="F107" s="27">
        <v>1.0</v>
      </c>
      <c r="G107" s="27"/>
      <c r="H107" s="25"/>
      <c r="I107" s="20" t="s">
        <v>23</v>
      </c>
      <c r="J107" s="118"/>
      <c r="K107" s="33">
        <f t="shared" si="13"/>
        <v>0</v>
      </c>
      <c r="L107" s="33">
        <f t="shared" si="14"/>
        <v>0</v>
      </c>
      <c r="M107" s="34"/>
      <c r="N107" s="34"/>
      <c r="O107" s="34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</row>
    <row r="108">
      <c r="A108" s="20">
        <v>83.0</v>
      </c>
      <c r="B108" s="23" t="s">
        <v>459</v>
      </c>
      <c r="C108" s="116"/>
      <c r="D108" s="117"/>
      <c r="E108" s="25"/>
      <c r="F108" s="27">
        <v>1.0</v>
      </c>
      <c r="G108" s="27"/>
      <c r="H108" s="25"/>
      <c r="I108" s="20" t="s">
        <v>23</v>
      </c>
      <c r="J108" s="118"/>
      <c r="K108" s="33">
        <f t="shared" si="13"/>
        <v>0</v>
      </c>
      <c r="L108" s="33">
        <f t="shared" si="14"/>
        <v>0</v>
      </c>
      <c r="M108" s="34"/>
      <c r="N108" s="34"/>
      <c r="O108" s="34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</row>
    <row r="109">
      <c r="A109" s="20">
        <v>84.0</v>
      </c>
      <c r="B109" s="23" t="s">
        <v>460</v>
      </c>
      <c r="C109" s="116"/>
      <c r="D109" s="117"/>
      <c r="E109" s="25"/>
      <c r="F109" s="27">
        <v>1.0</v>
      </c>
      <c r="G109" s="27"/>
      <c r="H109" s="25"/>
      <c r="I109" s="20" t="s">
        <v>23</v>
      </c>
      <c r="J109" s="118"/>
      <c r="K109" s="33">
        <f t="shared" si="13"/>
        <v>0</v>
      </c>
      <c r="L109" s="33">
        <f t="shared" si="14"/>
        <v>0</v>
      </c>
      <c r="M109" s="34"/>
      <c r="N109" s="34"/>
      <c r="O109" s="34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</row>
    <row r="110">
      <c r="A110" s="20">
        <v>85.0</v>
      </c>
      <c r="B110" s="23" t="s">
        <v>461</v>
      </c>
      <c r="C110" s="116"/>
      <c r="D110" s="117"/>
      <c r="E110" s="25"/>
      <c r="F110" s="27">
        <v>1.0</v>
      </c>
      <c r="G110" s="27"/>
      <c r="H110" s="25"/>
      <c r="I110" s="20" t="s">
        <v>23</v>
      </c>
      <c r="J110" s="118"/>
      <c r="K110" s="33">
        <f t="shared" si="13"/>
        <v>0</v>
      </c>
      <c r="L110" s="33">
        <f t="shared" si="14"/>
        <v>0</v>
      </c>
      <c r="M110" s="34"/>
      <c r="N110" s="34"/>
      <c r="O110" s="34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</row>
    <row r="111">
      <c r="A111" s="20">
        <v>86.0</v>
      </c>
      <c r="B111" s="23" t="s">
        <v>462</v>
      </c>
      <c r="C111" s="116"/>
      <c r="D111" s="117"/>
      <c r="E111" s="25"/>
      <c r="F111" s="27">
        <v>1.0</v>
      </c>
      <c r="G111" s="27"/>
      <c r="H111" s="25"/>
      <c r="I111" s="20" t="s">
        <v>23</v>
      </c>
      <c r="J111" s="118"/>
      <c r="K111" s="33">
        <f t="shared" si="13"/>
        <v>0</v>
      </c>
      <c r="L111" s="33">
        <f t="shared" si="14"/>
        <v>0</v>
      </c>
      <c r="M111" s="34"/>
      <c r="N111" s="34"/>
      <c r="O111" s="34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</row>
    <row r="112">
      <c r="A112" s="20">
        <v>87.0</v>
      </c>
      <c r="B112" s="23" t="s">
        <v>463</v>
      </c>
      <c r="C112" s="116"/>
      <c r="D112" s="117"/>
      <c r="E112" s="25"/>
      <c r="F112" s="27">
        <v>1.0</v>
      </c>
      <c r="G112" s="27"/>
      <c r="H112" s="25"/>
      <c r="I112" s="20" t="s">
        <v>23</v>
      </c>
      <c r="J112" s="118"/>
      <c r="K112" s="33">
        <f t="shared" si="13"/>
        <v>0</v>
      </c>
      <c r="L112" s="33">
        <f t="shared" si="14"/>
        <v>0</v>
      </c>
      <c r="M112" s="34"/>
      <c r="N112" s="34"/>
      <c r="O112" s="34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</row>
    <row r="113">
      <c r="A113" s="20">
        <v>88.0</v>
      </c>
      <c r="B113" s="23" t="s">
        <v>464</v>
      </c>
      <c r="C113" s="116"/>
      <c r="D113" s="117"/>
      <c r="E113" s="25"/>
      <c r="F113" s="27">
        <v>1.0</v>
      </c>
      <c r="G113" s="27"/>
      <c r="H113" s="25"/>
      <c r="I113" s="20" t="s">
        <v>23</v>
      </c>
      <c r="J113" s="118"/>
      <c r="K113" s="33">
        <f t="shared" si="13"/>
        <v>0</v>
      </c>
      <c r="L113" s="33">
        <f t="shared" si="14"/>
        <v>0</v>
      </c>
      <c r="M113" s="34"/>
      <c r="N113" s="34"/>
      <c r="O113" s="34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</row>
    <row r="114">
      <c r="A114" s="20">
        <v>89.0</v>
      </c>
      <c r="B114" s="23" t="s">
        <v>465</v>
      </c>
      <c r="C114" s="116"/>
      <c r="D114" s="117"/>
      <c r="E114" s="25"/>
      <c r="F114" s="27">
        <v>1.0</v>
      </c>
      <c r="G114" s="27"/>
      <c r="H114" s="25"/>
      <c r="I114" s="20" t="s">
        <v>23</v>
      </c>
      <c r="J114" s="118"/>
      <c r="K114" s="33">
        <f t="shared" si="13"/>
        <v>0</v>
      </c>
      <c r="L114" s="33">
        <f t="shared" si="14"/>
        <v>0</v>
      </c>
      <c r="M114" s="34"/>
      <c r="N114" s="34"/>
      <c r="O114" s="34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</row>
    <row r="115">
      <c r="A115" s="20">
        <v>90.0</v>
      </c>
      <c r="B115" s="23" t="s">
        <v>466</v>
      </c>
      <c r="C115" s="116"/>
      <c r="D115" s="117"/>
      <c r="E115" s="25"/>
      <c r="F115" s="27">
        <v>1.0</v>
      </c>
      <c r="G115" s="27"/>
      <c r="H115" s="25"/>
      <c r="I115" s="20" t="s">
        <v>23</v>
      </c>
      <c r="J115" s="118"/>
      <c r="K115" s="33">
        <f t="shared" si="13"/>
        <v>0</v>
      </c>
      <c r="L115" s="33">
        <f t="shared" si="14"/>
        <v>0</v>
      </c>
      <c r="M115" s="34"/>
      <c r="N115" s="34"/>
      <c r="O115" s="34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</row>
    <row r="116">
      <c r="A116" s="20">
        <v>91.0</v>
      </c>
      <c r="B116" s="23" t="s">
        <v>467</v>
      </c>
      <c r="C116" s="116"/>
      <c r="D116" s="117"/>
      <c r="E116" s="25"/>
      <c r="F116" s="27">
        <v>1.0</v>
      </c>
      <c r="G116" s="27"/>
      <c r="H116" s="25"/>
      <c r="I116" s="20" t="s">
        <v>23</v>
      </c>
      <c r="J116" s="118"/>
      <c r="K116" s="33">
        <f t="shared" si="13"/>
        <v>0</v>
      </c>
      <c r="L116" s="33">
        <f t="shared" si="14"/>
        <v>0</v>
      </c>
      <c r="M116" s="34"/>
      <c r="N116" s="34"/>
      <c r="O116" s="34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</row>
    <row r="117">
      <c r="A117" s="20">
        <v>92.0</v>
      </c>
      <c r="B117" s="23" t="s">
        <v>468</v>
      </c>
      <c r="C117" s="116"/>
      <c r="D117" s="117"/>
      <c r="E117" s="25"/>
      <c r="F117" s="27">
        <v>1.0</v>
      </c>
      <c r="G117" s="27"/>
      <c r="H117" s="25"/>
      <c r="I117" s="20" t="s">
        <v>23</v>
      </c>
      <c r="J117" s="118"/>
      <c r="K117" s="33">
        <f t="shared" si="13"/>
        <v>0</v>
      </c>
      <c r="L117" s="33">
        <f t="shared" si="14"/>
        <v>0</v>
      </c>
      <c r="M117" s="34"/>
      <c r="N117" s="34"/>
      <c r="O117" s="34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</row>
    <row r="118">
      <c r="A118" s="20">
        <v>93.0</v>
      </c>
      <c r="B118" s="23" t="s">
        <v>469</v>
      </c>
      <c r="C118" s="116"/>
      <c r="D118" s="117"/>
      <c r="E118" s="25"/>
      <c r="F118" s="27">
        <v>1.0</v>
      </c>
      <c r="G118" s="27"/>
      <c r="H118" s="25"/>
      <c r="I118" s="20" t="s">
        <v>23</v>
      </c>
      <c r="J118" s="118"/>
      <c r="K118" s="33">
        <f t="shared" si="13"/>
        <v>0</v>
      </c>
      <c r="L118" s="33">
        <f t="shared" si="14"/>
        <v>0</v>
      </c>
      <c r="M118" s="34"/>
      <c r="N118" s="34"/>
      <c r="O118" s="34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</row>
    <row r="119">
      <c r="A119" s="20">
        <v>94.0</v>
      </c>
      <c r="B119" s="23" t="s">
        <v>470</v>
      </c>
      <c r="C119" s="116"/>
      <c r="D119" s="117"/>
      <c r="E119" s="25"/>
      <c r="F119" s="27">
        <v>1.0</v>
      </c>
      <c r="G119" s="27"/>
      <c r="H119" s="25"/>
      <c r="I119" s="20" t="s">
        <v>23</v>
      </c>
      <c r="J119" s="118"/>
      <c r="K119" s="33">
        <f t="shared" si="13"/>
        <v>0</v>
      </c>
      <c r="L119" s="33">
        <f t="shared" si="14"/>
        <v>0</v>
      </c>
      <c r="M119" s="34"/>
      <c r="N119" s="34"/>
      <c r="O119" s="34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</row>
    <row r="120">
      <c r="A120" s="20">
        <v>95.0</v>
      </c>
      <c r="B120" s="23" t="s">
        <v>471</v>
      </c>
      <c r="C120" s="116"/>
      <c r="D120" s="117"/>
      <c r="E120" s="25"/>
      <c r="F120" s="27">
        <v>1.0</v>
      </c>
      <c r="G120" s="27"/>
      <c r="H120" s="25"/>
      <c r="I120" s="20" t="s">
        <v>23</v>
      </c>
      <c r="J120" s="118"/>
      <c r="K120" s="33">
        <f t="shared" si="13"/>
        <v>0</v>
      </c>
      <c r="L120" s="33">
        <f t="shared" si="14"/>
        <v>0</v>
      </c>
      <c r="M120" s="34"/>
      <c r="N120" s="34"/>
      <c r="O120" s="34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</row>
    <row r="121">
      <c r="A121" s="20">
        <v>96.0</v>
      </c>
      <c r="B121" s="23" t="s">
        <v>472</v>
      </c>
      <c r="C121" s="116"/>
      <c r="D121" s="117"/>
      <c r="E121" s="25"/>
      <c r="F121" s="27">
        <v>1.0</v>
      </c>
      <c r="G121" s="27"/>
      <c r="H121" s="25"/>
      <c r="I121" s="20" t="s">
        <v>23</v>
      </c>
      <c r="J121" s="118"/>
      <c r="K121" s="33">
        <f t="shared" si="13"/>
        <v>0</v>
      </c>
      <c r="L121" s="33">
        <f t="shared" si="14"/>
        <v>0</v>
      </c>
      <c r="M121" s="34"/>
      <c r="N121" s="34"/>
      <c r="O121" s="34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</row>
    <row r="122">
      <c r="A122" s="20">
        <v>97.0</v>
      </c>
      <c r="B122" s="23" t="s">
        <v>473</v>
      </c>
      <c r="C122" s="116"/>
      <c r="D122" s="117"/>
      <c r="E122" s="25"/>
      <c r="F122" s="27">
        <v>1.0</v>
      </c>
      <c r="G122" s="27"/>
      <c r="H122" s="25"/>
      <c r="I122" s="20" t="s">
        <v>23</v>
      </c>
      <c r="J122" s="118"/>
      <c r="K122" s="33">
        <f t="shared" si="13"/>
        <v>0</v>
      </c>
      <c r="L122" s="33">
        <f t="shared" si="14"/>
        <v>0</v>
      </c>
      <c r="M122" s="34"/>
      <c r="N122" s="34"/>
      <c r="O122" s="34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</row>
    <row r="123">
      <c r="A123" s="20">
        <v>98.0</v>
      </c>
      <c r="B123" s="23" t="s">
        <v>474</v>
      </c>
      <c r="C123" s="116"/>
      <c r="D123" s="117"/>
      <c r="E123" s="25"/>
      <c r="F123" s="27">
        <v>1.0</v>
      </c>
      <c r="G123" s="27"/>
      <c r="H123" s="25"/>
      <c r="I123" s="20" t="s">
        <v>23</v>
      </c>
      <c r="J123" s="118"/>
      <c r="K123" s="33">
        <f t="shared" si="13"/>
        <v>0</v>
      </c>
      <c r="L123" s="33">
        <f t="shared" si="14"/>
        <v>0</v>
      </c>
      <c r="M123" s="34"/>
      <c r="N123" s="34"/>
      <c r="O123" s="34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</row>
    <row r="124">
      <c r="A124" s="20">
        <v>99.0</v>
      </c>
      <c r="B124" s="23" t="s">
        <v>475</v>
      </c>
      <c r="C124" s="116"/>
      <c r="D124" s="117"/>
      <c r="E124" s="25"/>
      <c r="F124" s="27">
        <v>1.0</v>
      </c>
      <c r="G124" s="27"/>
      <c r="H124" s="25"/>
      <c r="I124" s="20" t="s">
        <v>23</v>
      </c>
      <c r="J124" s="118"/>
      <c r="K124" s="33">
        <f t="shared" si="13"/>
        <v>0</v>
      </c>
      <c r="L124" s="33">
        <f t="shared" si="14"/>
        <v>0</v>
      </c>
      <c r="M124" s="34"/>
      <c r="N124" s="34"/>
      <c r="O124" s="34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</row>
    <row r="125">
      <c r="A125" s="20">
        <v>100.0</v>
      </c>
      <c r="B125" s="23" t="s">
        <v>476</v>
      </c>
      <c r="C125" s="116"/>
      <c r="D125" s="117"/>
      <c r="E125" s="25"/>
      <c r="F125" s="27">
        <v>1.0</v>
      </c>
      <c r="G125" s="27"/>
      <c r="H125" s="25"/>
      <c r="I125" s="20" t="s">
        <v>23</v>
      </c>
      <c r="J125" s="118"/>
      <c r="K125" s="33">
        <f t="shared" si="13"/>
        <v>0</v>
      </c>
      <c r="L125" s="33">
        <f t="shared" si="14"/>
        <v>0</v>
      </c>
      <c r="M125" s="34"/>
      <c r="N125" s="34"/>
      <c r="O125" s="34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</row>
    <row r="126">
      <c r="A126" s="66"/>
      <c r="B126" s="134"/>
      <c r="C126" s="134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</row>
    <row r="127">
      <c r="A127" s="66"/>
      <c r="B127" s="134"/>
      <c r="C127" s="134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</row>
    <row r="128">
      <c r="A128" s="66"/>
      <c r="B128" s="134"/>
      <c r="C128" s="134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</row>
    <row r="129">
      <c r="A129" s="66"/>
      <c r="B129" s="134"/>
      <c r="C129" s="134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</row>
    <row r="130">
      <c r="A130" s="66"/>
      <c r="B130" s="134"/>
      <c r="C130" s="134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</row>
    <row r="131">
      <c r="A131" s="66"/>
      <c r="B131" s="134"/>
      <c r="C131" s="134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</row>
    <row r="132">
      <c r="A132" s="66"/>
      <c r="B132" s="134"/>
      <c r="C132" s="134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</row>
    <row r="133">
      <c r="A133" s="66"/>
      <c r="B133" s="134"/>
      <c r="C133" s="134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</row>
    <row r="134">
      <c r="A134" s="66"/>
      <c r="B134" s="134"/>
      <c r="C134" s="134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</row>
    <row r="135">
      <c r="A135" s="66"/>
      <c r="B135" s="134"/>
      <c r="C135" s="134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</row>
    <row r="136">
      <c r="A136" s="66"/>
      <c r="B136" s="134"/>
      <c r="C136" s="134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</row>
    <row r="137">
      <c r="A137" s="66"/>
      <c r="B137" s="134"/>
      <c r="C137" s="134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</row>
    <row r="138">
      <c r="A138" s="66"/>
      <c r="B138" s="134"/>
      <c r="C138" s="134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</row>
    <row r="139">
      <c r="A139" s="66"/>
      <c r="B139" s="134"/>
      <c r="C139" s="134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</row>
    <row r="140">
      <c r="A140" s="66"/>
      <c r="B140" s="134"/>
      <c r="C140" s="134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</row>
    <row r="141">
      <c r="A141" s="66"/>
      <c r="B141" s="134"/>
      <c r="C141" s="134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</row>
    <row r="142">
      <c r="A142" s="66"/>
      <c r="B142" s="134"/>
      <c r="C142" s="134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</row>
    <row r="143">
      <c r="A143" s="66"/>
      <c r="B143" s="134"/>
      <c r="C143" s="134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</row>
    <row r="144">
      <c r="A144" s="66"/>
      <c r="B144" s="134"/>
      <c r="C144" s="134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</row>
    <row r="145">
      <c r="A145" s="66"/>
      <c r="B145" s="134"/>
      <c r="C145" s="134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</row>
    <row r="146">
      <c r="A146" s="66"/>
      <c r="B146" s="134"/>
      <c r="C146" s="134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</row>
    <row r="147">
      <c r="A147" s="66"/>
      <c r="B147" s="134"/>
      <c r="C147" s="134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</row>
    <row r="148">
      <c r="A148" s="66"/>
      <c r="B148" s="134"/>
      <c r="C148" s="134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</row>
    <row r="149">
      <c r="A149" s="66"/>
      <c r="B149" s="134"/>
      <c r="C149" s="134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</row>
    <row r="150">
      <c r="A150" s="66"/>
      <c r="B150" s="134"/>
      <c r="C150" s="134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</row>
    <row r="151">
      <c r="A151" s="66"/>
      <c r="B151" s="134"/>
      <c r="C151" s="134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</row>
    <row r="152">
      <c r="A152" s="66"/>
      <c r="B152" s="134"/>
      <c r="C152" s="134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</row>
    <row r="153">
      <c r="A153" s="66"/>
      <c r="B153" s="134"/>
      <c r="C153" s="134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</row>
    <row r="154">
      <c r="A154" s="66"/>
      <c r="B154" s="134"/>
      <c r="C154" s="134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</row>
    <row r="155">
      <c r="A155" s="66"/>
      <c r="B155" s="134"/>
      <c r="C155" s="134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</row>
    <row r="156">
      <c r="A156" s="66"/>
      <c r="B156" s="134"/>
      <c r="C156" s="134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</row>
    <row r="157">
      <c r="A157" s="66"/>
      <c r="B157" s="134"/>
      <c r="C157" s="134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</row>
    <row r="158">
      <c r="A158" s="66"/>
      <c r="B158" s="134"/>
      <c r="C158" s="134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</row>
    <row r="159">
      <c r="A159" s="66"/>
      <c r="B159" s="134"/>
      <c r="C159" s="134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</row>
    <row r="160">
      <c r="A160" s="66"/>
      <c r="B160" s="134"/>
      <c r="C160" s="134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</row>
    <row r="161">
      <c r="A161" s="66"/>
      <c r="B161" s="134"/>
      <c r="C161" s="134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</row>
    <row r="162">
      <c r="A162" s="66"/>
      <c r="B162" s="134"/>
      <c r="C162" s="134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</row>
    <row r="163">
      <c r="A163" s="66"/>
      <c r="B163" s="134"/>
      <c r="C163" s="134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</row>
    <row r="164">
      <c r="A164" s="66"/>
      <c r="B164" s="134"/>
      <c r="C164" s="134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</row>
    <row r="165">
      <c r="A165" s="66"/>
      <c r="B165" s="134"/>
      <c r="C165" s="134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</row>
    <row r="166">
      <c r="A166" s="66"/>
      <c r="B166" s="134"/>
      <c r="C166" s="134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</row>
    <row r="167">
      <c r="A167" s="66"/>
      <c r="B167" s="134"/>
      <c r="C167" s="134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</row>
    <row r="168">
      <c r="A168" s="66"/>
      <c r="B168" s="134"/>
      <c r="C168" s="134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</row>
    <row r="169">
      <c r="A169" s="66"/>
      <c r="B169" s="134"/>
      <c r="C169" s="134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</row>
    <row r="170">
      <c r="A170" s="66"/>
      <c r="B170" s="134"/>
      <c r="C170" s="134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</row>
    <row r="171">
      <c r="A171" s="66"/>
      <c r="B171" s="134"/>
      <c r="C171" s="134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</row>
    <row r="172">
      <c r="A172" s="66"/>
      <c r="B172" s="134"/>
      <c r="C172" s="134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</row>
    <row r="173">
      <c r="A173" s="66"/>
      <c r="B173" s="134"/>
      <c r="C173" s="134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</row>
    <row r="174">
      <c r="A174" s="66"/>
      <c r="B174" s="134"/>
      <c r="C174" s="134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</row>
    <row r="175">
      <c r="A175" s="66"/>
      <c r="B175" s="134"/>
      <c r="C175" s="134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</row>
    <row r="176">
      <c r="A176" s="66"/>
      <c r="B176" s="134"/>
      <c r="C176" s="134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</row>
    <row r="177">
      <c r="A177" s="66"/>
      <c r="B177" s="134"/>
      <c r="C177" s="134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</row>
    <row r="178">
      <c r="A178" s="66"/>
      <c r="B178" s="134"/>
      <c r="C178" s="134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</row>
    <row r="179">
      <c r="A179" s="66"/>
      <c r="B179" s="134"/>
      <c r="C179" s="134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</row>
    <row r="180">
      <c r="A180" s="66"/>
      <c r="B180" s="134"/>
      <c r="C180" s="134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</row>
    <row r="181">
      <c r="A181" s="66"/>
      <c r="B181" s="134"/>
      <c r="C181" s="134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</row>
    <row r="182">
      <c r="A182" s="66"/>
      <c r="B182" s="134"/>
      <c r="C182" s="134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</row>
    <row r="183">
      <c r="A183" s="66"/>
      <c r="B183" s="134"/>
      <c r="C183" s="134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</row>
    <row r="184">
      <c r="A184" s="66"/>
      <c r="B184" s="134"/>
      <c r="C184" s="134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</row>
    <row r="185">
      <c r="A185" s="66"/>
      <c r="B185" s="134"/>
      <c r="C185" s="134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</row>
    <row r="186">
      <c r="A186" s="66"/>
      <c r="B186" s="134"/>
      <c r="C186" s="134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</row>
    <row r="187">
      <c r="A187" s="66"/>
      <c r="B187" s="134"/>
      <c r="C187" s="134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</row>
    <row r="188">
      <c r="A188" s="66"/>
      <c r="B188" s="134"/>
      <c r="C188" s="134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</row>
    <row r="189">
      <c r="A189" s="66"/>
      <c r="B189" s="134"/>
      <c r="C189" s="134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</row>
    <row r="190">
      <c r="A190" s="66"/>
      <c r="B190" s="134"/>
      <c r="C190" s="134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</row>
    <row r="191">
      <c r="A191" s="66"/>
      <c r="B191" s="134"/>
      <c r="C191" s="134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</row>
    <row r="192">
      <c r="A192" s="66"/>
      <c r="B192" s="134"/>
      <c r="C192" s="134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</row>
    <row r="193">
      <c r="A193" s="66"/>
      <c r="B193" s="134"/>
      <c r="C193" s="134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</row>
    <row r="194">
      <c r="A194" s="66"/>
      <c r="B194" s="134"/>
      <c r="C194" s="134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</row>
    <row r="195">
      <c r="A195" s="66"/>
      <c r="B195" s="134"/>
      <c r="C195" s="134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</row>
    <row r="196">
      <c r="A196" s="66"/>
      <c r="B196" s="134"/>
      <c r="C196" s="134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</row>
    <row r="197">
      <c r="A197" s="66"/>
      <c r="B197" s="134"/>
      <c r="C197" s="134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</row>
    <row r="198">
      <c r="A198" s="66"/>
      <c r="B198" s="134"/>
      <c r="C198" s="134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</row>
    <row r="199">
      <c r="A199" s="66"/>
      <c r="B199" s="134"/>
      <c r="C199" s="134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</row>
    <row r="200">
      <c r="A200" s="66"/>
      <c r="B200" s="134"/>
      <c r="C200" s="134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</row>
    <row r="201">
      <c r="A201" s="66"/>
      <c r="B201" s="134"/>
      <c r="C201" s="134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</row>
    <row r="202">
      <c r="A202" s="66"/>
      <c r="B202" s="134"/>
      <c r="C202" s="134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</row>
    <row r="203">
      <c r="A203" s="66"/>
      <c r="B203" s="134"/>
      <c r="C203" s="134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</row>
    <row r="204">
      <c r="A204" s="66"/>
      <c r="B204" s="134"/>
      <c r="C204" s="134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</row>
    <row r="205">
      <c r="A205" s="66"/>
      <c r="B205" s="134"/>
      <c r="C205" s="134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</row>
    <row r="206">
      <c r="A206" s="66"/>
      <c r="B206" s="134"/>
      <c r="C206" s="134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</row>
    <row r="207">
      <c r="A207" s="66"/>
      <c r="B207" s="134"/>
      <c r="C207" s="134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</row>
    <row r="208">
      <c r="A208" s="66"/>
      <c r="B208" s="134"/>
      <c r="C208" s="134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</row>
    <row r="209">
      <c r="A209" s="66"/>
      <c r="B209" s="134"/>
      <c r="C209" s="134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</row>
    <row r="210">
      <c r="A210" s="66"/>
      <c r="B210" s="134"/>
      <c r="C210" s="134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</row>
    <row r="211">
      <c r="A211" s="66"/>
      <c r="B211" s="134"/>
      <c r="C211" s="134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</row>
    <row r="212">
      <c r="A212" s="66"/>
      <c r="B212" s="134"/>
      <c r="C212" s="134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</row>
    <row r="213">
      <c r="A213" s="66"/>
      <c r="B213" s="134"/>
      <c r="C213" s="134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</row>
    <row r="214">
      <c r="A214" s="66"/>
      <c r="B214" s="134"/>
      <c r="C214" s="134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</row>
    <row r="215">
      <c r="A215" s="66"/>
      <c r="B215" s="134"/>
      <c r="C215" s="134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</row>
    <row r="216">
      <c r="A216" s="66"/>
      <c r="B216" s="134"/>
      <c r="C216" s="134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</row>
    <row r="217">
      <c r="A217" s="66"/>
      <c r="B217" s="134"/>
      <c r="C217" s="134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</row>
    <row r="218">
      <c r="A218" s="66"/>
      <c r="B218" s="134"/>
      <c r="C218" s="134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</row>
    <row r="219">
      <c r="A219" s="66"/>
      <c r="B219" s="134"/>
      <c r="C219" s="134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</row>
    <row r="220">
      <c r="A220" s="66"/>
      <c r="B220" s="134"/>
      <c r="C220" s="134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</row>
    <row r="221">
      <c r="A221" s="66"/>
      <c r="B221" s="134"/>
      <c r="C221" s="134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</row>
    <row r="222">
      <c r="A222" s="66"/>
      <c r="B222" s="134"/>
      <c r="C222" s="134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</row>
    <row r="223">
      <c r="A223" s="66"/>
      <c r="B223" s="134"/>
      <c r="C223" s="134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</row>
    <row r="224">
      <c r="A224" s="66"/>
      <c r="B224" s="134"/>
      <c r="C224" s="134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</row>
    <row r="225">
      <c r="A225" s="66"/>
      <c r="B225" s="134"/>
      <c r="C225" s="134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</row>
    <row r="226">
      <c r="A226" s="66"/>
      <c r="B226" s="134"/>
      <c r="C226" s="134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</row>
    <row r="227">
      <c r="A227" s="66"/>
      <c r="B227" s="134"/>
      <c r="C227" s="134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</row>
    <row r="228">
      <c r="A228" s="66"/>
      <c r="B228" s="134"/>
      <c r="C228" s="134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</row>
    <row r="229">
      <c r="A229" s="66"/>
      <c r="B229" s="134"/>
      <c r="C229" s="134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</row>
    <row r="230">
      <c r="A230" s="66"/>
      <c r="B230" s="134"/>
      <c r="C230" s="134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</row>
    <row r="231">
      <c r="A231" s="66"/>
      <c r="B231" s="134"/>
      <c r="C231" s="134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</row>
    <row r="232">
      <c r="A232" s="66"/>
      <c r="B232" s="134"/>
      <c r="C232" s="134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</row>
    <row r="233">
      <c r="A233" s="66"/>
      <c r="B233" s="134"/>
      <c r="C233" s="134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</row>
    <row r="234">
      <c r="A234" s="66"/>
      <c r="B234" s="134"/>
      <c r="C234" s="134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</row>
    <row r="235">
      <c r="A235" s="66"/>
      <c r="B235" s="134"/>
      <c r="C235" s="134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</row>
    <row r="236">
      <c r="A236" s="66"/>
      <c r="B236" s="134"/>
      <c r="C236" s="134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</row>
    <row r="237">
      <c r="A237" s="66"/>
      <c r="B237" s="134"/>
      <c r="C237" s="134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</row>
    <row r="238">
      <c r="A238" s="66"/>
      <c r="B238" s="134"/>
      <c r="C238" s="134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</row>
    <row r="239">
      <c r="A239" s="66"/>
      <c r="B239" s="134"/>
      <c r="C239" s="134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</row>
    <row r="240">
      <c r="A240" s="66"/>
      <c r="B240" s="134"/>
      <c r="C240" s="134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</row>
    <row r="241">
      <c r="A241" s="66"/>
      <c r="B241" s="134"/>
      <c r="C241" s="134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</row>
    <row r="242">
      <c r="A242" s="66"/>
      <c r="B242" s="134"/>
      <c r="C242" s="134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</row>
    <row r="243">
      <c r="A243" s="66"/>
      <c r="B243" s="134"/>
      <c r="C243" s="134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</row>
    <row r="244">
      <c r="A244" s="66"/>
      <c r="B244" s="134"/>
      <c r="C244" s="134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</row>
    <row r="245">
      <c r="A245" s="66"/>
      <c r="B245" s="134"/>
      <c r="C245" s="134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</row>
    <row r="246">
      <c r="A246" s="66"/>
      <c r="B246" s="134"/>
      <c r="C246" s="134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</row>
    <row r="247">
      <c r="A247" s="66"/>
      <c r="B247" s="134"/>
      <c r="C247" s="134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</row>
    <row r="248">
      <c r="A248" s="66"/>
      <c r="B248" s="134"/>
      <c r="C248" s="134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</row>
    <row r="249">
      <c r="A249" s="66"/>
      <c r="B249" s="134"/>
      <c r="C249" s="134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</row>
    <row r="250">
      <c r="A250" s="66"/>
      <c r="B250" s="134"/>
      <c r="C250" s="134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</row>
    <row r="251">
      <c r="A251" s="66"/>
      <c r="B251" s="134"/>
      <c r="C251" s="134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</row>
    <row r="252">
      <c r="A252" s="66"/>
      <c r="B252" s="134"/>
      <c r="C252" s="134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</row>
    <row r="253">
      <c r="A253" s="66"/>
      <c r="B253" s="134"/>
      <c r="C253" s="134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</row>
    <row r="254">
      <c r="A254" s="66"/>
      <c r="B254" s="134"/>
      <c r="C254" s="134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</row>
    <row r="255">
      <c r="A255" s="66"/>
      <c r="B255" s="134"/>
      <c r="C255" s="134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</row>
    <row r="256">
      <c r="A256" s="66"/>
      <c r="B256" s="134"/>
      <c r="C256" s="134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</row>
    <row r="257">
      <c r="A257" s="66"/>
      <c r="B257" s="134"/>
      <c r="C257" s="134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</row>
    <row r="258">
      <c r="A258" s="66"/>
      <c r="B258" s="134"/>
      <c r="C258" s="134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</row>
    <row r="259">
      <c r="A259" s="66"/>
      <c r="B259" s="134"/>
      <c r="C259" s="134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</row>
    <row r="260">
      <c r="A260" s="66"/>
      <c r="B260" s="134"/>
      <c r="C260" s="134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</row>
    <row r="261">
      <c r="A261" s="66"/>
      <c r="B261" s="134"/>
      <c r="C261" s="134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</row>
    <row r="262">
      <c r="A262" s="66"/>
      <c r="B262" s="134"/>
      <c r="C262" s="134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</row>
    <row r="263">
      <c r="A263" s="66"/>
      <c r="B263" s="134"/>
      <c r="C263" s="134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</row>
    <row r="264">
      <c r="A264" s="66"/>
      <c r="B264" s="134"/>
      <c r="C264" s="134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</row>
    <row r="265">
      <c r="A265" s="66"/>
      <c r="B265" s="134"/>
      <c r="C265" s="134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</row>
    <row r="266">
      <c r="A266" s="66"/>
      <c r="B266" s="134"/>
      <c r="C266" s="134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</row>
    <row r="267">
      <c r="A267" s="66"/>
      <c r="B267" s="134"/>
      <c r="C267" s="134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</row>
    <row r="268">
      <c r="A268" s="66"/>
      <c r="B268" s="134"/>
      <c r="C268" s="134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</row>
    <row r="269">
      <c r="A269" s="66"/>
      <c r="B269" s="134"/>
      <c r="C269" s="134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</row>
    <row r="270">
      <c r="A270" s="66"/>
      <c r="B270" s="134"/>
      <c r="C270" s="134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</row>
    <row r="271">
      <c r="A271" s="66"/>
      <c r="B271" s="134"/>
      <c r="C271" s="134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</row>
    <row r="272">
      <c r="A272" s="66"/>
      <c r="B272" s="134"/>
      <c r="C272" s="134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</row>
    <row r="273">
      <c r="A273" s="66"/>
      <c r="B273" s="134"/>
      <c r="C273" s="134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</row>
    <row r="274">
      <c r="A274" s="66"/>
      <c r="B274" s="134"/>
      <c r="C274" s="134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</row>
    <row r="275">
      <c r="A275" s="66"/>
      <c r="B275" s="134"/>
      <c r="C275" s="134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</row>
    <row r="276">
      <c r="A276" s="66"/>
      <c r="B276" s="134"/>
      <c r="C276" s="134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</row>
    <row r="277">
      <c r="A277" s="66"/>
      <c r="B277" s="134"/>
      <c r="C277" s="134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</row>
    <row r="278">
      <c r="A278" s="66"/>
      <c r="B278" s="134"/>
      <c r="C278" s="134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</row>
    <row r="279">
      <c r="A279" s="66"/>
      <c r="B279" s="134"/>
      <c r="C279" s="134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</row>
    <row r="280">
      <c r="A280" s="66"/>
      <c r="B280" s="134"/>
      <c r="C280" s="134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</row>
    <row r="281">
      <c r="A281" s="66"/>
      <c r="B281" s="134"/>
      <c r="C281" s="134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</row>
    <row r="282">
      <c r="A282" s="66"/>
      <c r="B282" s="134"/>
      <c r="C282" s="134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</row>
    <row r="283">
      <c r="A283" s="66"/>
      <c r="B283" s="134"/>
      <c r="C283" s="134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</row>
    <row r="284">
      <c r="A284" s="66"/>
      <c r="B284" s="134"/>
      <c r="C284" s="134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</row>
    <row r="285">
      <c r="A285" s="66"/>
      <c r="B285" s="134"/>
      <c r="C285" s="134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</row>
    <row r="286">
      <c r="A286" s="66"/>
      <c r="B286" s="134"/>
      <c r="C286" s="134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</row>
    <row r="287">
      <c r="A287" s="66"/>
      <c r="B287" s="134"/>
      <c r="C287" s="134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</row>
    <row r="288">
      <c r="A288" s="66"/>
      <c r="B288" s="134"/>
      <c r="C288" s="134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</row>
    <row r="289">
      <c r="A289" s="66"/>
      <c r="B289" s="134"/>
      <c r="C289" s="134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</row>
    <row r="290">
      <c r="A290" s="66"/>
      <c r="B290" s="134"/>
      <c r="C290" s="134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</row>
    <row r="291">
      <c r="A291" s="66"/>
      <c r="B291" s="134"/>
      <c r="C291" s="134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</row>
    <row r="292">
      <c r="A292" s="66"/>
      <c r="B292" s="134"/>
      <c r="C292" s="134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</row>
    <row r="293">
      <c r="A293" s="66"/>
      <c r="B293" s="134"/>
      <c r="C293" s="134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</row>
    <row r="294">
      <c r="A294" s="66"/>
      <c r="B294" s="134"/>
      <c r="C294" s="134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</row>
    <row r="295">
      <c r="A295" s="66"/>
      <c r="B295" s="134"/>
      <c r="C295" s="134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</row>
    <row r="296">
      <c r="A296" s="66"/>
      <c r="B296" s="134"/>
      <c r="C296" s="134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</row>
    <row r="297">
      <c r="A297" s="66"/>
      <c r="B297" s="134"/>
      <c r="C297" s="134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</row>
    <row r="298">
      <c r="A298" s="66"/>
      <c r="B298" s="134"/>
      <c r="C298" s="134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</row>
    <row r="299">
      <c r="A299" s="66"/>
      <c r="B299" s="134"/>
      <c r="C299" s="134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</row>
    <row r="300">
      <c r="A300" s="66"/>
      <c r="B300" s="134"/>
      <c r="C300" s="134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</row>
    <row r="301">
      <c r="A301" s="66"/>
      <c r="B301" s="134"/>
      <c r="C301" s="134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</row>
    <row r="302">
      <c r="A302" s="66"/>
      <c r="B302" s="134"/>
      <c r="C302" s="134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</row>
    <row r="303">
      <c r="A303" s="66"/>
      <c r="B303" s="134"/>
      <c r="C303" s="134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</row>
    <row r="304">
      <c r="A304" s="66"/>
      <c r="B304" s="134"/>
      <c r="C304" s="134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</row>
    <row r="305">
      <c r="A305" s="66"/>
      <c r="B305" s="134"/>
      <c r="C305" s="134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</row>
    <row r="306">
      <c r="A306" s="66"/>
      <c r="B306" s="134"/>
      <c r="C306" s="134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</row>
    <row r="307">
      <c r="A307" s="66"/>
      <c r="B307" s="134"/>
      <c r="C307" s="134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</row>
    <row r="308">
      <c r="A308" s="66"/>
      <c r="B308" s="134"/>
      <c r="C308" s="134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</row>
    <row r="309">
      <c r="A309" s="66"/>
      <c r="B309" s="134"/>
      <c r="C309" s="134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</row>
    <row r="310">
      <c r="A310" s="66"/>
      <c r="B310" s="134"/>
      <c r="C310" s="134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</row>
    <row r="311">
      <c r="A311" s="66"/>
      <c r="B311" s="134"/>
      <c r="C311" s="134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</row>
    <row r="312">
      <c r="A312" s="66"/>
      <c r="B312" s="134"/>
      <c r="C312" s="134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</row>
    <row r="313">
      <c r="A313" s="66"/>
      <c r="B313" s="134"/>
      <c r="C313" s="134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</row>
    <row r="314">
      <c r="A314" s="66"/>
      <c r="B314" s="134"/>
      <c r="C314" s="134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</row>
    <row r="315">
      <c r="A315" s="66"/>
      <c r="B315" s="134"/>
      <c r="C315" s="134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</row>
    <row r="316">
      <c r="A316" s="66"/>
      <c r="B316" s="134"/>
      <c r="C316" s="134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</row>
    <row r="317">
      <c r="A317" s="66"/>
      <c r="B317" s="134"/>
      <c r="C317" s="134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</row>
    <row r="318">
      <c r="A318" s="66"/>
      <c r="B318" s="134"/>
      <c r="C318" s="134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</row>
    <row r="319">
      <c r="A319" s="66"/>
      <c r="B319" s="134"/>
      <c r="C319" s="134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</row>
    <row r="320">
      <c r="A320" s="66"/>
      <c r="B320" s="134"/>
      <c r="C320" s="134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</row>
    <row r="321">
      <c r="A321" s="66"/>
      <c r="B321" s="134"/>
      <c r="C321" s="134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</row>
    <row r="322">
      <c r="A322" s="66"/>
      <c r="B322" s="134"/>
      <c r="C322" s="134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</row>
    <row r="323">
      <c r="A323" s="66"/>
      <c r="B323" s="134"/>
      <c r="C323" s="134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</row>
    <row r="324">
      <c r="A324" s="66"/>
      <c r="B324" s="134"/>
      <c r="C324" s="134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</row>
    <row r="325">
      <c r="A325" s="66"/>
      <c r="B325" s="134"/>
      <c r="C325" s="134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</row>
    <row r="326">
      <c r="A326" s="66"/>
      <c r="B326" s="134"/>
      <c r="C326" s="134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</row>
    <row r="327">
      <c r="A327" s="66"/>
      <c r="B327" s="134"/>
      <c r="C327" s="134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</row>
    <row r="328">
      <c r="A328" s="66"/>
      <c r="B328" s="134"/>
      <c r="C328" s="134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</row>
    <row r="329">
      <c r="A329" s="66"/>
      <c r="B329" s="134"/>
      <c r="C329" s="134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</row>
    <row r="330">
      <c r="A330" s="66"/>
      <c r="B330" s="134"/>
      <c r="C330" s="134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</row>
    <row r="331">
      <c r="A331" s="66"/>
      <c r="B331" s="134"/>
      <c r="C331" s="134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</row>
    <row r="332">
      <c r="A332" s="66"/>
      <c r="B332" s="134"/>
      <c r="C332" s="134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</row>
    <row r="333">
      <c r="A333" s="66"/>
      <c r="B333" s="134"/>
      <c r="C333" s="134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</row>
    <row r="334">
      <c r="A334" s="66"/>
      <c r="B334" s="134"/>
      <c r="C334" s="134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</row>
    <row r="335">
      <c r="A335" s="66"/>
      <c r="B335" s="134"/>
      <c r="C335" s="134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</row>
    <row r="336">
      <c r="A336" s="66"/>
      <c r="B336" s="134"/>
      <c r="C336" s="134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</row>
    <row r="337">
      <c r="A337" s="66"/>
      <c r="B337" s="134"/>
      <c r="C337" s="134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</row>
    <row r="338">
      <c r="A338" s="66"/>
      <c r="B338" s="134"/>
      <c r="C338" s="134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</row>
    <row r="339">
      <c r="A339" s="66"/>
      <c r="B339" s="134"/>
      <c r="C339" s="134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</row>
    <row r="340">
      <c r="A340" s="66"/>
      <c r="B340" s="134"/>
      <c r="C340" s="134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</row>
    <row r="341">
      <c r="A341" s="66"/>
      <c r="B341" s="134"/>
      <c r="C341" s="134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</row>
    <row r="342">
      <c r="A342" s="66"/>
      <c r="B342" s="134"/>
      <c r="C342" s="134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</row>
    <row r="343">
      <c r="A343" s="66"/>
      <c r="B343" s="134"/>
      <c r="C343" s="134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</row>
    <row r="344">
      <c r="A344" s="66"/>
      <c r="B344" s="134"/>
      <c r="C344" s="134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</row>
    <row r="345">
      <c r="A345" s="66"/>
      <c r="B345" s="134"/>
      <c r="C345" s="134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</row>
    <row r="346">
      <c r="A346" s="66"/>
      <c r="B346" s="134"/>
      <c r="C346" s="134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</row>
    <row r="347">
      <c r="A347" s="66"/>
      <c r="B347" s="134"/>
      <c r="C347" s="134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</row>
    <row r="348">
      <c r="A348" s="66"/>
      <c r="B348" s="134"/>
      <c r="C348" s="134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</row>
    <row r="349">
      <c r="A349" s="66"/>
      <c r="B349" s="134"/>
      <c r="C349" s="134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</row>
    <row r="350">
      <c r="A350" s="66"/>
      <c r="B350" s="134"/>
      <c r="C350" s="134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</row>
    <row r="351">
      <c r="A351" s="66"/>
      <c r="B351" s="134"/>
      <c r="C351" s="134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</row>
    <row r="352">
      <c r="A352" s="66"/>
      <c r="B352" s="134"/>
      <c r="C352" s="134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</row>
    <row r="353">
      <c r="A353" s="66"/>
      <c r="B353" s="134"/>
      <c r="C353" s="134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</row>
    <row r="354">
      <c r="A354" s="66"/>
      <c r="B354" s="134"/>
      <c r="C354" s="134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</row>
    <row r="355">
      <c r="A355" s="66"/>
      <c r="B355" s="134"/>
      <c r="C355" s="134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</row>
    <row r="356">
      <c r="A356" s="66"/>
      <c r="B356" s="134"/>
      <c r="C356" s="134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</row>
    <row r="357">
      <c r="A357" s="66"/>
      <c r="B357" s="134"/>
      <c r="C357" s="134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</row>
    <row r="358">
      <c r="A358" s="66"/>
      <c r="B358" s="134"/>
      <c r="C358" s="134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</row>
    <row r="359">
      <c r="A359" s="66"/>
      <c r="B359" s="134"/>
      <c r="C359" s="134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</row>
    <row r="360">
      <c r="A360" s="66"/>
      <c r="B360" s="134"/>
      <c r="C360" s="134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</row>
    <row r="361">
      <c r="A361" s="66"/>
      <c r="B361" s="134"/>
      <c r="C361" s="134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</row>
    <row r="362">
      <c r="A362" s="66"/>
      <c r="B362" s="134"/>
      <c r="C362" s="134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</row>
    <row r="363">
      <c r="A363" s="66"/>
      <c r="B363" s="134"/>
      <c r="C363" s="134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</row>
    <row r="364">
      <c r="A364" s="66"/>
      <c r="B364" s="134"/>
      <c r="C364" s="134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</row>
    <row r="365">
      <c r="A365" s="66"/>
      <c r="B365" s="134"/>
      <c r="C365" s="134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</row>
    <row r="366">
      <c r="A366" s="66"/>
      <c r="B366" s="134"/>
      <c r="C366" s="134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</row>
    <row r="367">
      <c r="A367" s="66"/>
      <c r="B367" s="134"/>
      <c r="C367" s="134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</row>
    <row r="368">
      <c r="A368" s="66"/>
      <c r="B368" s="134"/>
      <c r="C368" s="134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</row>
    <row r="369">
      <c r="A369" s="66"/>
      <c r="B369" s="134"/>
      <c r="C369" s="134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</row>
    <row r="370">
      <c r="A370" s="66"/>
      <c r="B370" s="134"/>
      <c r="C370" s="134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</row>
    <row r="371">
      <c r="A371" s="66"/>
      <c r="B371" s="134"/>
      <c r="C371" s="134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</row>
    <row r="372">
      <c r="A372" s="66"/>
      <c r="B372" s="134"/>
      <c r="C372" s="134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</row>
    <row r="373">
      <c r="A373" s="66"/>
      <c r="B373" s="134"/>
      <c r="C373" s="134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</row>
    <row r="374">
      <c r="A374" s="66"/>
      <c r="B374" s="134"/>
      <c r="C374" s="134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</row>
    <row r="375">
      <c r="A375" s="66"/>
      <c r="B375" s="134"/>
      <c r="C375" s="134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</row>
    <row r="376">
      <c r="A376" s="66"/>
      <c r="B376" s="134"/>
      <c r="C376" s="134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</row>
    <row r="377">
      <c r="A377" s="66"/>
      <c r="B377" s="134"/>
      <c r="C377" s="134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</row>
    <row r="378">
      <c r="A378" s="66"/>
      <c r="B378" s="134"/>
      <c r="C378" s="134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</row>
    <row r="379">
      <c r="A379" s="66"/>
      <c r="B379" s="134"/>
      <c r="C379" s="134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</row>
    <row r="380">
      <c r="A380" s="66"/>
      <c r="B380" s="134"/>
      <c r="C380" s="134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</row>
    <row r="381">
      <c r="A381" s="66"/>
      <c r="B381" s="134"/>
      <c r="C381" s="134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</row>
    <row r="382">
      <c r="A382" s="66"/>
      <c r="B382" s="134"/>
      <c r="C382" s="134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</row>
    <row r="383">
      <c r="A383" s="66"/>
      <c r="B383" s="134"/>
      <c r="C383" s="134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</row>
    <row r="384">
      <c r="A384" s="66"/>
      <c r="B384" s="134"/>
      <c r="C384" s="134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</row>
    <row r="385">
      <c r="A385" s="66"/>
      <c r="B385" s="134"/>
      <c r="C385" s="134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</row>
    <row r="386">
      <c r="A386" s="66"/>
      <c r="B386" s="134"/>
      <c r="C386" s="134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</row>
    <row r="387">
      <c r="A387" s="66"/>
      <c r="B387" s="134"/>
      <c r="C387" s="134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</row>
    <row r="388">
      <c r="A388" s="66"/>
      <c r="B388" s="134"/>
      <c r="C388" s="134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</row>
    <row r="389">
      <c r="A389" s="66"/>
      <c r="B389" s="134"/>
      <c r="C389" s="134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</row>
    <row r="390">
      <c r="A390" s="66"/>
      <c r="B390" s="134"/>
      <c r="C390" s="134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</row>
    <row r="391">
      <c r="A391" s="66"/>
      <c r="B391" s="134"/>
      <c r="C391" s="134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</row>
    <row r="392">
      <c r="A392" s="66"/>
      <c r="B392" s="134"/>
      <c r="C392" s="134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</row>
    <row r="393">
      <c r="A393" s="66"/>
      <c r="B393" s="134"/>
      <c r="C393" s="134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</row>
    <row r="394">
      <c r="A394" s="66"/>
      <c r="B394" s="134"/>
      <c r="C394" s="134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</row>
    <row r="395">
      <c r="A395" s="66"/>
      <c r="B395" s="134"/>
      <c r="C395" s="134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</row>
    <row r="396">
      <c r="A396" s="66"/>
      <c r="B396" s="134"/>
      <c r="C396" s="134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</row>
    <row r="397">
      <c r="A397" s="66"/>
      <c r="B397" s="134"/>
      <c r="C397" s="134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</row>
    <row r="398">
      <c r="A398" s="66"/>
      <c r="B398" s="134"/>
      <c r="C398" s="134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</row>
    <row r="399">
      <c r="A399" s="66"/>
      <c r="B399" s="134"/>
      <c r="C399" s="134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</row>
    <row r="400">
      <c r="A400" s="66"/>
      <c r="B400" s="134"/>
      <c r="C400" s="134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</row>
    <row r="401">
      <c r="A401" s="66"/>
      <c r="B401" s="134"/>
      <c r="C401" s="134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</row>
    <row r="402">
      <c r="A402" s="66"/>
      <c r="B402" s="134"/>
      <c r="C402" s="134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</row>
    <row r="403">
      <c r="A403" s="66"/>
      <c r="B403" s="134"/>
      <c r="C403" s="134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</row>
    <row r="404">
      <c r="A404" s="66"/>
      <c r="B404" s="134"/>
      <c r="C404" s="134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</row>
    <row r="405">
      <c r="A405" s="66"/>
      <c r="B405" s="134"/>
      <c r="C405" s="134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</row>
    <row r="406">
      <c r="A406" s="66"/>
      <c r="B406" s="134"/>
      <c r="C406" s="134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</row>
    <row r="407">
      <c r="A407" s="66"/>
      <c r="B407" s="134"/>
      <c r="C407" s="134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</row>
    <row r="408">
      <c r="A408" s="66"/>
      <c r="B408" s="134"/>
      <c r="C408" s="134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</row>
    <row r="409">
      <c r="A409" s="66"/>
      <c r="B409" s="134"/>
      <c r="C409" s="134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</row>
    <row r="410">
      <c r="A410" s="66"/>
      <c r="B410" s="134"/>
      <c r="C410" s="134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</row>
    <row r="411">
      <c r="A411" s="66"/>
      <c r="B411" s="134"/>
      <c r="C411" s="134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</row>
    <row r="412">
      <c r="A412" s="66"/>
      <c r="B412" s="134"/>
      <c r="C412" s="134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</row>
    <row r="413">
      <c r="A413" s="66"/>
      <c r="B413" s="134"/>
      <c r="C413" s="134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</row>
    <row r="414">
      <c r="A414" s="66"/>
      <c r="B414" s="134"/>
      <c r="C414" s="134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</row>
    <row r="415">
      <c r="A415" s="66"/>
      <c r="B415" s="134"/>
      <c r="C415" s="134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</row>
    <row r="416">
      <c r="A416" s="66"/>
      <c r="B416" s="134"/>
      <c r="C416" s="134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</row>
    <row r="417">
      <c r="A417" s="66"/>
      <c r="B417" s="134"/>
      <c r="C417" s="134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</row>
    <row r="418">
      <c r="A418" s="66"/>
      <c r="B418" s="134"/>
      <c r="C418" s="134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</row>
    <row r="419">
      <c r="A419" s="66"/>
      <c r="B419" s="134"/>
      <c r="C419" s="134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</row>
    <row r="420">
      <c r="A420" s="66"/>
      <c r="B420" s="134"/>
      <c r="C420" s="134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</row>
    <row r="421">
      <c r="A421" s="66"/>
      <c r="B421" s="134"/>
      <c r="C421" s="134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</row>
    <row r="422">
      <c r="A422" s="66"/>
      <c r="B422" s="134"/>
      <c r="C422" s="134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</row>
    <row r="423">
      <c r="A423" s="66"/>
      <c r="B423" s="134"/>
      <c r="C423" s="134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</row>
    <row r="424">
      <c r="A424" s="66"/>
      <c r="B424" s="134"/>
      <c r="C424" s="134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</row>
    <row r="425">
      <c r="A425" s="66"/>
      <c r="B425" s="134"/>
      <c r="C425" s="134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</row>
    <row r="426">
      <c r="A426" s="66"/>
      <c r="B426" s="134"/>
      <c r="C426" s="134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</row>
    <row r="427">
      <c r="A427" s="66"/>
      <c r="B427" s="134"/>
      <c r="C427" s="134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</row>
    <row r="428">
      <c r="A428" s="66"/>
      <c r="B428" s="134"/>
      <c r="C428" s="134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</row>
    <row r="429">
      <c r="A429" s="66"/>
      <c r="B429" s="134"/>
      <c r="C429" s="134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</row>
    <row r="430">
      <c r="A430" s="66"/>
      <c r="B430" s="134"/>
      <c r="C430" s="134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</row>
    <row r="431">
      <c r="A431" s="66"/>
      <c r="B431" s="134"/>
      <c r="C431" s="134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</row>
    <row r="432">
      <c r="A432" s="66"/>
      <c r="B432" s="134"/>
      <c r="C432" s="134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</row>
    <row r="433">
      <c r="A433" s="66"/>
      <c r="B433" s="134"/>
      <c r="C433" s="134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</row>
    <row r="434">
      <c r="A434" s="66"/>
      <c r="B434" s="134"/>
      <c r="C434" s="134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</row>
    <row r="435">
      <c r="A435" s="66"/>
      <c r="B435" s="134"/>
      <c r="C435" s="134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</row>
    <row r="436">
      <c r="A436" s="66"/>
      <c r="B436" s="134"/>
      <c r="C436" s="134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</row>
    <row r="437">
      <c r="A437" s="66"/>
      <c r="B437" s="134"/>
      <c r="C437" s="134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</row>
    <row r="438">
      <c r="A438" s="66"/>
      <c r="B438" s="134"/>
      <c r="C438" s="134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</row>
    <row r="439">
      <c r="A439" s="66"/>
      <c r="B439" s="134"/>
      <c r="C439" s="134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</row>
    <row r="440">
      <c r="A440" s="66"/>
      <c r="B440" s="134"/>
      <c r="C440" s="134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</row>
    <row r="441">
      <c r="A441" s="66"/>
      <c r="B441" s="134"/>
      <c r="C441" s="134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</row>
    <row r="442">
      <c r="A442" s="66"/>
      <c r="B442" s="134"/>
      <c r="C442" s="134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</row>
    <row r="443">
      <c r="A443" s="66"/>
      <c r="B443" s="134"/>
      <c r="C443" s="134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</row>
    <row r="444">
      <c r="A444" s="66"/>
      <c r="B444" s="134"/>
      <c r="C444" s="134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</row>
    <row r="445">
      <c r="A445" s="66"/>
      <c r="B445" s="134"/>
      <c r="C445" s="134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</row>
    <row r="446">
      <c r="A446" s="66"/>
      <c r="B446" s="134"/>
      <c r="C446" s="134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</row>
    <row r="447">
      <c r="A447" s="66"/>
      <c r="B447" s="134"/>
      <c r="C447" s="134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</row>
    <row r="448">
      <c r="A448" s="66"/>
      <c r="B448" s="134"/>
      <c r="C448" s="134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</row>
    <row r="449">
      <c r="A449" s="66"/>
      <c r="B449" s="134"/>
      <c r="C449" s="134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</row>
    <row r="450">
      <c r="A450" s="66"/>
      <c r="B450" s="134"/>
      <c r="C450" s="134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</row>
    <row r="451">
      <c r="A451" s="66"/>
      <c r="B451" s="134"/>
      <c r="C451" s="134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</row>
    <row r="452">
      <c r="A452" s="66"/>
      <c r="B452" s="134"/>
      <c r="C452" s="134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</row>
    <row r="453">
      <c r="A453" s="66"/>
      <c r="B453" s="134"/>
      <c r="C453" s="134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</row>
    <row r="454">
      <c r="A454" s="66"/>
      <c r="B454" s="134"/>
      <c r="C454" s="134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</row>
    <row r="455">
      <c r="A455" s="66"/>
      <c r="B455" s="134"/>
      <c r="C455" s="134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</row>
    <row r="456">
      <c r="A456" s="66"/>
      <c r="B456" s="134"/>
      <c r="C456" s="134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</row>
    <row r="457">
      <c r="A457" s="66"/>
      <c r="B457" s="134"/>
      <c r="C457" s="134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</row>
    <row r="458">
      <c r="A458" s="66"/>
      <c r="B458" s="134"/>
      <c r="C458" s="134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</row>
    <row r="459">
      <c r="A459" s="66"/>
      <c r="B459" s="134"/>
      <c r="C459" s="134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</row>
    <row r="460">
      <c r="A460" s="66"/>
      <c r="B460" s="134"/>
      <c r="C460" s="134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</row>
    <row r="461">
      <c r="A461" s="66"/>
      <c r="B461" s="134"/>
      <c r="C461" s="134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</row>
    <row r="462">
      <c r="A462" s="66"/>
      <c r="B462" s="134"/>
      <c r="C462" s="134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</row>
    <row r="463">
      <c r="A463" s="66"/>
      <c r="B463" s="134"/>
      <c r="C463" s="134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</row>
    <row r="464">
      <c r="A464" s="66"/>
      <c r="B464" s="134"/>
      <c r="C464" s="134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</row>
    <row r="465">
      <c r="A465" s="66"/>
      <c r="B465" s="134"/>
      <c r="C465" s="134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</row>
    <row r="466">
      <c r="A466" s="66"/>
      <c r="B466" s="134"/>
      <c r="C466" s="134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</row>
    <row r="467">
      <c r="A467" s="66"/>
      <c r="B467" s="134"/>
      <c r="C467" s="134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</row>
    <row r="468">
      <c r="A468" s="66"/>
      <c r="B468" s="134"/>
      <c r="C468" s="134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</row>
    <row r="469">
      <c r="A469" s="66"/>
      <c r="B469" s="134"/>
      <c r="C469" s="134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</row>
    <row r="470">
      <c r="A470" s="66"/>
      <c r="B470" s="134"/>
      <c r="C470" s="134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</row>
    <row r="471">
      <c r="A471" s="66"/>
      <c r="B471" s="134"/>
      <c r="C471" s="134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</row>
    <row r="472">
      <c r="A472" s="66"/>
      <c r="B472" s="134"/>
      <c r="C472" s="134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</row>
    <row r="473">
      <c r="A473" s="66"/>
      <c r="B473" s="134"/>
      <c r="C473" s="134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</row>
    <row r="474">
      <c r="A474" s="66"/>
      <c r="B474" s="134"/>
      <c r="C474" s="134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</row>
    <row r="475">
      <c r="A475" s="66"/>
      <c r="B475" s="134"/>
      <c r="C475" s="134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</row>
    <row r="476">
      <c r="A476" s="66"/>
      <c r="B476" s="134"/>
      <c r="C476" s="134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</row>
    <row r="477">
      <c r="A477" s="66"/>
      <c r="B477" s="134"/>
      <c r="C477" s="134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</row>
    <row r="478">
      <c r="A478" s="66"/>
      <c r="B478" s="134"/>
      <c r="C478" s="134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</row>
    <row r="479">
      <c r="A479" s="66"/>
      <c r="B479" s="134"/>
      <c r="C479" s="134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</row>
    <row r="480">
      <c r="A480" s="66"/>
      <c r="B480" s="134"/>
      <c r="C480" s="134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</row>
    <row r="481">
      <c r="A481" s="66"/>
      <c r="B481" s="134"/>
      <c r="C481" s="134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</row>
    <row r="482">
      <c r="A482" s="66"/>
      <c r="B482" s="134"/>
      <c r="C482" s="134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</row>
    <row r="483">
      <c r="A483" s="66"/>
      <c r="B483" s="134"/>
      <c r="C483" s="134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</row>
    <row r="484">
      <c r="A484" s="66"/>
      <c r="B484" s="134"/>
      <c r="C484" s="134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</row>
    <row r="485">
      <c r="A485" s="66"/>
      <c r="B485" s="134"/>
      <c r="C485" s="134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</row>
    <row r="486">
      <c r="A486" s="66"/>
      <c r="B486" s="134"/>
      <c r="C486" s="134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</row>
    <row r="487">
      <c r="A487" s="66"/>
      <c r="B487" s="134"/>
      <c r="C487" s="134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</row>
    <row r="488">
      <c r="A488" s="66"/>
      <c r="B488" s="134"/>
      <c r="C488" s="134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</row>
    <row r="489">
      <c r="A489" s="66"/>
      <c r="B489" s="134"/>
      <c r="C489" s="134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</row>
    <row r="490">
      <c r="A490" s="66"/>
      <c r="B490" s="134"/>
      <c r="C490" s="134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</row>
    <row r="491">
      <c r="A491" s="66"/>
      <c r="B491" s="134"/>
      <c r="C491" s="134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</row>
    <row r="492">
      <c r="A492" s="66"/>
      <c r="B492" s="134"/>
      <c r="C492" s="134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</row>
    <row r="493">
      <c r="A493" s="66"/>
      <c r="B493" s="134"/>
      <c r="C493" s="134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</row>
    <row r="494">
      <c r="A494" s="66"/>
      <c r="B494" s="134"/>
      <c r="C494" s="134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</row>
    <row r="495">
      <c r="A495" s="66"/>
      <c r="B495" s="134"/>
      <c r="C495" s="134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</row>
    <row r="496">
      <c r="A496" s="66"/>
      <c r="B496" s="134"/>
      <c r="C496" s="134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</row>
    <row r="497">
      <c r="A497" s="66"/>
      <c r="B497" s="134"/>
      <c r="C497" s="134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</row>
    <row r="498">
      <c r="A498" s="66"/>
      <c r="B498" s="134"/>
      <c r="C498" s="134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</row>
    <row r="499">
      <c r="A499" s="66"/>
      <c r="B499" s="134"/>
      <c r="C499" s="134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</row>
    <row r="500">
      <c r="A500" s="66"/>
      <c r="B500" s="134"/>
      <c r="C500" s="134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</row>
    <row r="501">
      <c r="A501" s="66"/>
      <c r="B501" s="134"/>
      <c r="C501" s="134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</row>
    <row r="502">
      <c r="A502" s="66"/>
      <c r="B502" s="134"/>
      <c r="C502" s="134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</row>
    <row r="503">
      <c r="A503" s="66"/>
      <c r="B503" s="134"/>
      <c r="C503" s="134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</row>
    <row r="504">
      <c r="A504" s="66"/>
      <c r="B504" s="134"/>
      <c r="C504" s="134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</row>
    <row r="505">
      <c r="A505" s="66"/>
      <c r="B505" s="134"/>
      <c r="C505" s="134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</row>
    <row r="506">
      <c r="A506" s="66"/>
      <c r="B506" s="134"/>
      <c r="C506" s="134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</row>
    <row r="507">
      <c r="A507" s="66"/>
      <c r="B507" s="134"/>
      <c r="C507" s="134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</row>
    <row r="508">
      <c r="A508" s="66"/>
      <c r="B508" s="134"/>
      <c r="C508" s="134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</row>
    <row r="509">
      <c r="A509" s="66"/>
      <c r="B509" s="134"/>
      <c r="C509" s="134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</row>
    <row r="510">
      <c r="A510" s="66"/>
      <c r="B510" s="134"/>
      <c r="C510" s="134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</row>
    <row r="511">
      <c r="A511" s="66"/>
      <c r="B511" s="134"/>
      <c r="C511" s="134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</row>
    <row r="512">
      <c r="A512" s="66"/>
      <c r="B512" s="134"/>
      <c r="C512" s="134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</row>
    <row r="513">
      <c r="A513" s="66"/>
      <c r="B513" s="134"/>
      <c r="C513" s="134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</row>
    <row r="514">
      <c r="A514" s="66"/>
      <c r="B514" s="134"/>
      <c r="C514" s="134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</row>
    <row r="515">
      <c r="A515" s="66"/>
      <c r="B515" s="134"/>
      <c r="C515" s="134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</row>
    <row r="516">
      <c r="A516" s="66"/>
      <c r="B516" s="134"/>
      <c r="C516" s="134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</row>
    <row r="517">
      <c r="A517" s="66"/>
      <c r="B517" s="134"/>
      <c r="C517" s="134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</row>
    <row r="518">
      <c r="A518" s="66"/>
      <c r="B518" s="134"/>
      <c r="C518" s="134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</row>
    <row r="519">
      <c r="A519" s="66"/>
      <c r="B519" s="134"/>
      <c r="C519" s="134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</row>
    <row r="520">
      <c r="A520" s="66"/>
      <c r="B520" s="134"/>
      <c r="C520" s="134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</row>
    <row r="521">
      <c r="A521" s="66"/>
      <c r="B521" s="134"/>
      <c r="C521" s="134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</row>
    <row r="522">
      <c r="A522" s="66"/>
      <c r="B522" s="134"/>
      <c r="C522" s="134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</row>
    <row r="523">
      <c r="A523" s="66"/>
      <c r="B523" s="134"/>
      <c r="C523" s="134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</row>
    <row r="524">
      <c r="A524" s="66"/>
      <c r="B524" s="134"/>
      <c r="C524" s="134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</row>
    <row r="525">
      <c r="A525" s="66"/>
      <c r="B525" s="134"/>
      <c r="C525" s="134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</row>
    <row r="526">
      <c r="A526" s="66"/>
      <c r="B526" s="134"/>
      <c r="C526" s="134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</row>
    <row r="527">
      <c r="A527" s="66"/>
      <c r="B527" s="134"/>
      <c r="C527" s="134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</row>
    <row r="528">
      <c r="A528" s="66"/>
      <c r="B528" s="134"/>
      <c r="C528" s="134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</row>
    <row r="529">
      <c r="A529" s="66"/>
      <c r="B529" s="134"/>
      <c r="C529" s="134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</row>
    <row r="530">
      <c r="A530" s="66"/>
      <c r="B530" s="134"/>
      <c r="C530" s="134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</row>
    <row r="531">
      <c r="A531" s="66"/>
      <c r="B531" s="134"/>
      <c r="C531" s="134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</row>
    <row r="532">
      <c r="A532" s="66"/>
      <c r="B532" s="134"/>
      <c r="C532" s="134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</row>
    <row r="533">
      <c r="A533" s="66"/>
      <c r="B533" s="134"/>
      <c r="C533" s="134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</row>
    <row r="534">
      <c r="A534" s="66"/>
      <c r="B534" s="134"/>
      <c r="C534" s="134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</row>
    <row r="535">
      <c r="A535" s="66"/>
      <c r="B535" s="134"/>
      <c r="C535" s="134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</row>
    <row r="536">
      <c r="A536" s="66"/>
      <c r="B536" s="134"/>
      <c r="C536" s="134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</row>
    <row r="537">
      <c r="A537" s="66"/>
      <c r="B537" s="134"/>
      <c r="C537" s="134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</row>
    <row r="538">
      <c r="A538" s="66"/>
      <c r="B538" s="134"/>
      <c r="C538" s="134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</row>
    <row r="539">
      <c r="A539" s="66"/>
      <c r="B539" s="134"/>
      <c r="C539" s="134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</row>
    <row r="540">
      <c r="A540" s="66"/>
      <c r="B540" s="134"/>
      <c r="C540" s="134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</row>
    <row r="541">
      <c r="A541" s="66"/>
      <c r="B541" s="134"/>
      <c r="C541" s="134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</row>
    <row r="542">
      <c r="A542" s="66"/>
      <c r="B542" s="134"/>
      <c r="C542" s="134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</row>
    <row r="543">
      <c r="A543" s="66"/>
      <c r="B543" s="134"/>
      <c r="C543" s="134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</row>
    <row r="544">
      <c r="A544" s="66"/>
      <c r="B544" s="134"/>
      <c r="C544" s="134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</row>
    <row r="545">
      <c r="A545" s="66"/>
      <c r="B545" s="134"/>
      <c r="C545" s="134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</row>
    <row r="546">
      <c r="A546" s="66"/>
      <c r="B546" s="134"/>
      <c r="C546" s="134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</row>
    <row r="547">
      <c r="A547" s="66"/>
      <c r="B547" s="134"/>
      <c r="C547" s="134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</row>
    <row r="548">
      <c r="A548" s="66"/>
      <c r="B548" s="134"/>
      <c r="C548" s="134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</row>
    <row r="549">
      <c r="A549" s="66"/>
      <c r="B549" s="134"/>
      <c r="C549" s="134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</row>
    <row r="550">
      <c r="A550" s="66"/>
      <c r="B550" s="134"/>
      <c r="C550" s="134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</row>
    <row r="551">
      <c r="A551" s="66"/>
      <c r="B551" s="134"/>
      <c r="C551" s="134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</row>
    <row r="552">
      <c r="A552" s="66"/>
      <c r="B552" s="134"/>
      <c r="C552" s="134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</row>
    <row r="553">
      <c r="A553" s="66"/>
      <c r="B553" s="134"/>
      <c r="C553" s="134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</row>
    <row r="554">
      <c r="A554" s="66"/>
      <c r="B554" s="134"/>
      <c r="C554" s="134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</row>
    <row r="555">
      <c r="A555" s="66"/>
      <c r="B555" s="134"/>
      <c r="C555" s="134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</row>
    <row r="556">
      <c r="A556" s="66"/>
      <c r="B556" s="134"/>
      <c r="C556" s="134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</row>
    <row r="557">
      <c r="A557" s="66"/>
      <c r="B557" s="134"/>
      <c r="C557" s="134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</row>
    <row r="558">
      <c r="A558" s="66"/>
      <c r="B558" s="134"/>
      <c r="C558" s="134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</row>
    <row r="559">
      <c r="A559" s="66"/>
      <c r="B559" s="134"/>
      <c r="C559" s="134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</row>
    <row r="560">
      <c r="A560" s="66"/>
      <c r="B560" s="134"/>
      <c r="C560" s="134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</row>
    <row r="561">
      <c r="A561" s="66"/>
      <c r="B561" s="134"/>
      <c r="C561" s="134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</row>
    <row r="562">
      <c r="A562" s="66"/>
      <c r="B562" s="134"/>
      <c r="C562" s="134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</row>
    <row r="563">
      <c r="A563" s="66"/>
      <c r="B563" s="134"/>
      <c r="C563" s="134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</row>
    <row r="564">
      <c r="A564" s="66"/>
      <c r="B564" s="134"/>
      <c r="C564" s="134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</row>
    <row r="565">
      <c r="A565" s="66"/>
      <c r="B565" s="134"/>
      <c r="C565" s="134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</row>
    <row r="566">
      <c r="A566" s="66"/>
      <c r="B566" s="134"/>
      <c r="C566" s="134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</row>
    <row r="567">
      <c r="A567" s="66"/>
      <c r="B567" s="134"/>
      <c r="C567" s="134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</row>
    <row r="568">
      <c r="A568" s="66"/>
      <c r="B568" s="134"/>
      <c r="C568" s="134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</row>
    <row r="569">
      <c r="A569" s="66"/>
      <c r="B569" s="134"/>
      <c r="C569" s="134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</row>
    <row r="570">
      <c r="A570" s="66"/>
      <c r="B570" s="134"/>
      <c r="C570" s="134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</row>
    <row r="571">
      <c r="A571" s="66"/>
      <c r="B571" s="134"/>
      <c r="C571" s="134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</row>
    <row r="572">
      <c r="A572" s="66"/>
      <c r="B572" s="134"/>
      <c r="C572" s="134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</row>
    <row r="573">
      <c r="A573" s="66"/>
      <c r="B573" s="134"/>
      <c r="C573" s="134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</row>
    <row r="574">
      <c r="A574" s="66"/>
      <c r="B574" s="134"/>
      <c r="C574" s="134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</row>
    <row r="575">
      <c r="A575" s="66"/>
      <c r="B575" s="134"/>
      <c r="C575" s="134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</row>
    <row r="576">
      <c r="A576" s="66"/>
      <c r="B576" s="134"/>
      <c r="C576" s="134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</row>
    <row r="577">
      <c r="A577" s="66"/>
      <c r="B577" s="134"/>
      <c r="C577" s="134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</row>
    <row r="578">
      <c r="A578" s="66"/>
      <c r="B578" s="134"/>
      <c r="C578" s="134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</row>
    <row r="579">
      <c r="A579" s="66"/>
      <c r="B579" s="134"/>
      <c r="C579" s="134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</row>
    <row r="580">
      <c r="A580" s="66"/>
      <c r="B580" s="134"/>
      <c r="C580" s="134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</row>
    <row r="581">
      <c r="A581" s="66"/>
      <c r="B581" s="134"/>
      <c r="C581" s="134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</row>
    <row r="582">
      <c r="A582" s="66"/>
      <c r="B582" s="134"/>
      <c r="C582" s="134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</row>
    <row r="583">
      <c r="A583" s="66"/>
      <c r="B583" s="134"/>
      <c r="C583" s="134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</row>
    <row r="584">
      <c r="A584" s="66"/>
      <c r="B584" s="134"/>
      <c r="C584" s="134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</row>
    <row r="585">
      <c r="A585" s="66"/>
      <c r="B585" s="134"/>
      <c r="C585" s="134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</row>
    <row r="586">
      <c r="A586" s="66"/>
      <c r="B586" s="134"/>
      <c r="C586" s="134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</row>
    <row r="587">
      <c r="A587" s="66"/>
      <c r="B587" s="134"/>
      <c r="C587" s="134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</row>
    <row r="588">
      <c r="A588" s="66"/>
      <c r="B588" s="134"/>
      <c r="C588" s="134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</row>
    <row r="589">
      <c r="A589" s="66"/>
      <c r="B589" s="134"/>
      <c r="C589" s="134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</row>
    <row r="590">
      <c r="A590" s="66"/>
      <c r="B590" s="134"/>
      <c r="C590" s="134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</row>
    <row r="591">
      <c r="A591" s="66"/>
      <c r="B591" s="134"/>
      <c r="C591" s="134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</row>
    <row r="592">
      <c r="A592" s="66"/>
      <c r="B592" s="134"/>
      <c r="C592" s="134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</row>
    <row r="593">
      <c r="A593" s="66"/>
      <c r="B593" s="134"/>
      <c r="C593" s="134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</row>
    <row r="594">
      <c r="A594" s="66"/>
      <c r="B594" s="134"/>
      <c r="C594" s="134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</row>
    <row r="595">
      <c r="A595" s="66"/>
      <c r="B595" s="134"/>
      <c r="C595" s="134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</row>
    <row r="596">
      <c r="A596" s="66"/>
      <c r="B596" s="134"/>
      <c r="C596" s="134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</row>
    <row r="597">
      <c r="A597" s="66"/>
      <c r="B597" s="134"/>
      <c r="C597" s="134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</row>
    <row r="598">
      <c r="A598" s="66"/>
      <c r="B598" s="134"/>
      <c r="C598" s="134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</row>
    <row r="599">
      <c r="A599" s="66"/>
      <c r="B599" s="134"/>
      <c r="C599" s="134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</row>
    <row r="600">
      <c r="A600" s="66"/>
      <c r="B600" s="134"/>
      <c r="C600" s="134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</row>
    <row r="601">
      <c r="A601" s="66"/>
      <c r="B601" s="134"/>
      <c r="C601" s="134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</row>
    <row r="602">
      <c r="A602" s="66"/>
      <c r="B602" s="134"/>
      <c r="C602" s="134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</row>
    <row r="603">
      <c r="A603" s="66"/>
      <c r="B603" s="134"/>
      <c r="C603" s="134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</row>
    <row r="604">
      <c r="A604" s="66"/>
      <c r="B604" s="134"/>
      <c r="C604" s="134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</row>
    <row r="605">
      <c r="A605" s="66"/>
      <c r="B605" s="134"/>
      <c r="C605" s="134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</row>
    <row r="606">
      <c r="A606" s="66"/>
      <c r="B606" s="134"/>
      <c r="C606" s="134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</row>
    <row r="607">
      <c r="A607" s="66"/>
      <c r="B607" s="134"/>
      <c r="C607" s="134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</row>
    <row r="608">
      <c r="A608" s="66"/>
      <c r="B608" s="134"/>
      <c r="C608" s="134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</row>
    <row r="609">
      <c r="A609" s="66"/>
      <c r="B609" s="134"/>
      <c r="C609" s="134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</row>
    <row r="610">
      <c r="A610" s="66"/>
      <c r="B610" s="134"/>
      <c r="C610" s="134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</row>
    <row r="611">
      <c r="A611" s="66"/>
      <c r="B611" s="134"/>
      <c r="C611" s="134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</row>
    <row r="612">
      <c r="A612" s="66"/>
      <c r="B612" s="134"/>
      <c r="C612" s="134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</row>
    <row r="613">
      <c r="A613" s="66"/>
      <c r="B613" s="134"/>
      <c r="C613" s="134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</row>
    <row r="614">
      <c r="A614" s="66"/>
      <c r="B614" s="134"/>
      <c r="C614" s="134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</row>
    <row r="615">
      <c r="A615" s="66"/>
      <c r="B615" s="134"/>
      <c r="C615" s="134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</row>
    <row r="616">
      <c r="A616" s="66"/>
      <c r="B616" s="134"/>
      <c r="C616" s="134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</row>
    <row r="617">
      <c r="A617" s="66"/>
      <c r="B617" s="134"/>
      <c r="C617" s="134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</row>
    <row r="618">
      <c r="A618" s="66"/>
      <c r="B618" s="134"/>
      <c r="C618" s="134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</row>
    <row r="619">
      <c r="A619" s="66"/>
      <c r="B619" s="134"/>
      <c r="C619" s="134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</row>
    <row r="620">
      <c r="A620" s="66"/>
      <c r="B620" s="134"/>
      <c r="C620" s="134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</row>
    <row r="621">
      <c r="A621" s="66"/>
      <c r="B621" s="134"/>
      <c r="C621" s="134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</row>
    <row r="622">
      <c r="A622" s="66"/>
      <c r="B622" s="134"/>
      <c r="C622" s="134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</row>
    <row r="623">
      <c r="A623" s="66"/>
      <c r="B623" s="134"/>
      <c r="C623" s="134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</row>
    <row r="624">
      <c r="A624" s="66"/>
      <c r="B624" s="134"/>
      <c r="C624" s="134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</row>
    <row r="625">
      <c r="A625" s="66"/>
      <c r="B625" s="134"/>
      <c r="C625" s="134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</row>
    <row r="626">
      <c r="A626" s="66"/>
      <c r="B626" s="134"/>
      <c r="C626" s="134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</row>
    <row r="627">
      <c r="A627" s="66"/>
      <c r="B627" s="134"/>
      <c r="C627" s="134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</row>
    <row r="628">
      <c r="A628" s="66"/>
      <c r="B628" s="134"/>
      <c r="C628" s="134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</row>
    <row r="629">
      <c r="A629" s="66"/>
      <c r="B629" s="134"/>
      <c r="C629" s="134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</row>
    <row r="630">
      <c r="A630" s="66"/>
      <c r="B630" s="134"/>
      <c r="C630" s="134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</row>
    <row r="631">
      <c r="A631" s="66"/>
      <c r="B631" s="134"/>
      <c r="C631" s="134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</row>
    <row r="632">
      <c r="A632" s="66"/>
      <c r="B632" s="134"/>
      <c r="C632" s="134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</row>
    <row r="633">
      <c r="A633" s="66"/>
      <c r="B633" s="134"/>
      <c r="C633" s="134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</row>
    <row r="634">
      <c r="A634" s="66"/>
      <c r="B634" s="134"/>
      <c r="C634" s="134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</row>
    <row r="635">
      <c r="A635" s="66"/>
      <c r="B635" s="134"/>
      <c r="C635" s="134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</row>
    <row r="636">
      <c r="A636" s="66"/>
      <c r="B636" s="134"/>
      <c r="C636" s="134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</row>
    <row r="637">
      <c r="A637" s="66"/>
      <c r="B637" s="134"/>
      <c r="C637" s="134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</row>
    <row r="638">
      <c r="A638" s="66"/>
      <c r="B638" s="134"/>
      <c r="C638" s="134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</row>
    <row r="639">
      <c r="A639" s="66"/>
      <c r="B639" s="134"/>
      <c r="C639" s="134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</row>
    <row r="640">
      <c r="A640" s="66"/>
      <c r="B640" s="134"/>
      <c r="C640" s="134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</row>
    <row r="641">
      <c r="A641" s="66"/>
      <c r="B641" s="134"/>
      <c r="C641" s="134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</row>
    <row r="642">
      <c r="A642" s="66"/>
      <c r="B642" s="134"/>
      <c r="C642" s="134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</row>
    <row r="643">
      <c r="A643" s="66"/>
      <c r="B643" s="134"/>
      <c r="C643" s="134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</row>
    <row r="644">
      <c r="A644" s="66"/>
      <c r="B644" s="134"/>
      <c r="C644" s="134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</row>
    <row r="645">
      <c r="A645" s="66"/>
      <c r="B645" s="134"/>
      <c r="C645" s="134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</row>
    <row r="646">
      <c r="A646" s="66"/>
      <c r="B646" s="134"/>
      <c r="C646" s="134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</row>
    <row r="647">
      <c r="A647" s="66"/>
      <c r="B647" s="134"/>
      <c r="C647" s="134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</row>
    <row r="648">
      <c r="A648" s="66"/>
      <c r="B648" s="134"/>
      <c r="C648" s="134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</row>
    <row r="649">
      <c r="A649" s="66"/>
      <c r="B649" s="134"/>
      <c r="C649" s="134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</row>
    <row r="650">
      <c r="A650" s="66"/>
      <c r="B650" s="134"/>
      <c r="C650" s="134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</row>
    <row r="651">
      <c r="A651" s="66"/>
      <c r="B651" s="134"/>
      <c r="C651" s="134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</row>
    <row r="652">
      <c r="A652" s="66"/>
      <c r="B652" s="134"/>
      <c r="C652" s="134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</row>
    <row r="653">
      <c r="A653" s="66"/>
      <c r="B653" s="134"/>
      <c r="C653" s="134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</row>
    <row r="654">
      <c r="A654" s="66"/>
      <c r="B654" s="134"/>
      <c r="C654" s="134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</row>
    <row r="655">
      <c r="A655" s="66"/>
      <c r="B655" s="134"/>
      <c r="C655" s="134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</row>
    <row r="656">
      <c r="A656" s="66"/>
      <c r="B656" s="134"/>
      <c r="C656" s="134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</row>
    <row r="657">
      <c r="A657" s="66"/>
      <c r="B657" s="134"/>
      <c r="C657" s="134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</row>
    <row r="658">
      <c r="A658" s="66"/>
      <c r="B658" s="134"/>
      <c r="C658" s="134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</row>
    <row r="659">
      <c r="A659" s="66"/>
      <c r="B659" s="134"/>
      <c r="C659" s="134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</row>
    <row r="660">
      <c r="A660" s="66"/>
      <c r="B660" s="134"/>
      <c r="C660" s="134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</row>
    <row r="661">
      <c r="A661" s="66"/>
      <c r="B661" s="134"/>
      <c r="C661" s="134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</row>
    <row r="662">
      <c r="A662" s="66"/>
      <c r="B662" s="134"/>
      <c r="C662" s="134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</row>
    <row r="663">
      <c r="A663" s="66"/>
      <c r="B663" s="134"/>
      <c r="C663" s="134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</row>
    <row r="664">
      <c r="A664" s="66"/>
      <c r="B664" s="134"/>
      <c r="C664" s="134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</row>
    <row r="665">
      <c r="A665" s="66"/>
      <c r="B665" s="134"/>
      <c r="C665" s="134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</row>
    <row r="666">
      <c r="A666" s="66"/>
      <c r="B666" s="134"/>
      <c r="C666" s="134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</row>
    <row r="667">
      <c r="A667" s="66"/>
      <c r="B667" s="134"/>
      <c r="C667" s="134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</row>
    <row r="668">
      <c r="A668" s="66"/>
      <c r="B668" s="134"/>
      <c r="C668" s="134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</row>
    <row r="669">
      <c r="A669" s="66"/>
      <c r="B669" s="134"/>
      <c r="C669" s="134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</row>
    <row r="670">
      <c r="A670" s="66"/>
      <c r="B670" s="134"/>
      <c r="C670" s="134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</row>
    <row r="671">
      <c r="A671" s="66"/>
      <c r="B671" s="134"/>
      <c r="C671" s="134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</row>
    <row r="672">
      <c r="A672" s="66"/>
      <c r="B672" s="134"/>
      <c r="C672" s="134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</row>
    <row r="673">
      <c r="A673" s="66"/>
      <c r="B673" s="134"/>
      <c r="C673" s="134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</row>
    <row r="674">
      <c r="A674" s="66"/>
      <c r="B674" s="134"/>
      <c r="C674" s="134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</row>
    <row r="675">
      <c r="A675" s="66"/>
      <c r="B675" s="134"/>
      <c r="C675" s="134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</row>
    <row r="676">
      <c r="A676" s="66"/>
      <c r="B676" s="134"/>
      <c r="C676" s="134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</row>
    <row r="677">
      <c r="A677" s="66"/>
      <c r="B677" s="134"/>
      <c r="C677" s="134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</row>
    <row r="678">
      <c r="A678" s="66"/>
      <c r="B678" s="134"/>
      <c r="C678" s="134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</row>
    <row r="679">
      <c r="A679" s="66"/>
      <c r="B679" s="134"/>
      <c r="C679" s="134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</row>
    <row r="680">
      <c r="A680" s="66"/>
      <c r="B680" s="134"/>
      <c r="C680" s="134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</row>
    <row r="681">
      <c r="A681" s="66"/>
      <c r="B681" s="134"/>
      <c r="C681" s="134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</row>
    <row r="682">
      <c r="A682" s="66"/>
      <c r="B682" s="134"/>
      <c r="C682" s="134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</row>
    <row r="683">
      <c r="A683" s="66"/>
      <c r="B683" s="134"/>
      <c r="C683" s="134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</row>
    <row r="684">
      <c r="A684" s="66"/>
      <c r="B684" s="134"/>
      <c r="C684" s="134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</row>
    <row r="685">
      <c r="A685" s="66"/>
      <c r="B685" s="134"/>
      <c r="C685" s="134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</row>
    <row r="686">
      <c r="A686" s="66"/>
      <c r="B686" s="134"/>
      <c r="C686" s="134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</row>
    <row r="687">
      <c r="A687" s="66"/>
      <c r="B687" s="134"/>
      <c r="C687" s="134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</row>
    <row r="688">
      <c r="A688" s="66"/>
      <c r="B688" s="134"/>
      <c r="C688" s="134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</row>
    <row r="689">
      <c r="A689" s="66"/>
      <c r="B689" s="134"/>
      <c r="C689" s="134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</row>
    <row r="690">
      <c r="A690" s="66"/>
      <c r="B690" s="134"/>
      <c r="C690" s="134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</row>
    <row r="691">
      <c r="A691" s="66"/>
      <c r="B691" s="134"/>
      <c r="C691" s="134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</row>
    <row r="692">
      <c r="A692" s="66"/>
      <c r="B692" s="134"/>
      <c r="C692" s="134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</row>
    <row r="693">
      <c r="A693" s="66"/>
      <c r="B693" s="134"/>
      <c r="C693" s="134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</row>
    <row r="694">
      <c r="A694" s="66"/>
      <c r="B694" s="134"/>
      <c r="C694" s="134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</row>
    <row r="695">
      <c r="A695" s="66"/>
      <c r="B695" s="134"/>
      <c r="C695" s="134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</row>
    <row r="696">
      <c r="A696" s="66"/>
      <c r="B696" s="134"/>
      <c r="C696" s="134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</row>
    <row r="697">
      <c r="A697" s="66"/>
      <c r="B697" s="134"/>
      <c r="C697" s="134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</row>
    <row r="698">
      <c r="A698" s="66"/>
      <c r="B698" s="134"/>
      <c r="C698" s="134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</row>
    <row r="699">
      <c r="A699" s="66"/>
      <c r="B699" s="134"/>
      <c r="C699" s="134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</row>
    <row r="700">
      <c r="A700" s="66"/>
      <c r="B700" s="134"/>
      <c r="C700" s="134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</row>
    <row r="701">
      <c r="A701" s="66"/>
      <c r="B701" s="134"/>
      <c r="C701" s="134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</row>
    <row r="702">
      <c r="A702" s="66"/>
      <c r="B702" s="134"/>
      <c r="C702" s="134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</row>
    <row r="703">
      <c r="A703" s="66"/>
      <c r="B703" s="134"/>
      <c r="C703" s="134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</row>
    <row r="704">
      <c r="A704" s="66"/>
      <c r="B704" s="134"/>
      <c r="C704" s="134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</row>
    <row r="705">
      <c r="A705" s="66"/>
      <c r="B705" s="134"/>
      <c r="C705" s="134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</row>
    <row r="706">
      <c r="A706" s="66"/>
      <c r="B706" s="134"/>
      <c r="C706" s="134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</row>
    <row r="707">
      <c r="A707" s="66"/>
      <c r="B707" s="134"/>
      <c r="C707" s="134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</row>
    <row r="708">
      <c r="A708" s="66"/>
      <c r="B708" s="134"/>
      <c r="C708" s="134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</row>
    <row r="709">
      <c r="A709" s="66"/>
      <c r="B709" s="134"/>
      <c r="C709" s="134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</row>
    <row r="710">
      <c r="A710" s="66"/>
      <c r="B710" s="134"/>
      <c r="C710" s="134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</row>
    <row r="711">
      <c r="A711" s="66"/>
      <c r="B711" s="134"/>
      <c r="C711" s="134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</row>
    <row r="712">
      <c r="A712" s="66"/>
      <c r="B712" s="134"/>
      <c r="C712" s="134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</row>
    <row r="713">
      <c r="A713" s="66"/>
      <c r="B713" s="134"/>
      <c r="C713" s="134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</row>
    <row r="714">
      <c r="A714" s="66"/>
      <c r="B714" s="134"/>
      <c r="C714" s="134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</row>
    <row r="715">
      <c r="A715" s="66"/>
      <c r="B715" s="134"/>
      <c r="C715" s="134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</row>
    <row r="716">
      <c r="A716" s="66"/>
      <c r="B716" s="134"/>
      <c r="C716" s="134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</row>
    <row r="717">
      <c r="A717" s="66"/>
      <c r="B717" s="134"/>
      <c r="C717" s="134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</row>
    <row r="718">
      <c r="A718" s="66"/>
      <c r="B718" s="134"/>
      <c r="C718" s="134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</row>
    <row r="719">
      <c r="A719" s="66"/>
      <c r="B719" s="134"/>
      <c r="C719" s="134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</row>
    <row r="720">
      <c r="A720" s="66"/>
      <c r="B720" s="134"/>
      <c r="C720" s="134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</row>
    <row r="721">
      <c r="A721" s="66"/>
      <c r="B721" s="134"/>
      <c r="C721" s="134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</row>
    <row r="722">
      <c r="A722" s="66"/>
      <c r="B722" s="134"/>
      <c r="C722" s="134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</row>
    <row r="723">
      <c r="A723" s="66"/>
      <c r="B723" s="134"/>
      <c r="C723" s="134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</row>
    <row r="724">
      <c r="A724" s="66"/>
      <c r="B724" s="134"/>
      <c r="C724" s="134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</row>
    <row r="725">
      <c r="A725" s="66"/>
      <c r="B725" s="134"/>
      <c r="C725" s="134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</row>
    <row r="726">
      <c r="A726" s="66"/>
      <c r="B726" s="134"/>
      <c r="C726" s="134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</row>
    <row r="727">
      <c r="A727" s="66"/>
      <c r="B727" s="134"/>
      <c r="C727" s="134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</row>
    <row r="728">
      <c r="A728" s="66"/>
      <c r="B728" s="134"/>
      <c r="C728" s="134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</row>
    <row r="729">
      <c r="A729" s="66"/>
      <c r="B729" s="134"/>
      <c r="C729" s="134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</row>
    <row r="730">
      <c r="A730" s="66"/>
      <c r="B730" s="134"/>
      <c r="C730" s="134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</row>
    <row r="731">
      <c r="A731" s="66"/>
      <c r="B731" s="134"/>
      <c r="C731" s="134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</row>
    <row r="732">
      <c r="A732" s="66"/>
      <c r="B732" s="134"/>
      <c r="C732" s="134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</row>
    <row r="733">
      <c r="A733" s="66"/>
      <c r="B733" s="134"/>
      <c r="C733" s="134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</row>
    <row r="734">
      <c r="A734" s="66"/>
      <c r="B734" s="134"/>
      <c r="C734" s="134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</row>
    <row r="735">
      <c r="A735" s="66"/>
      <c r="B735" s="134"/>
      <c r="C735" s="134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</row>
    <row r="736">
      <c r="A736" s="66"/>
      <c r="B736" s="134"/>
      <c r="C736" s="134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</row>
    <row r="737">
      <c r="A737" s="66"/>
      <c r="B737" s="134"/>
      <c r="C737" s="134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</row>
    <row r="738">
      <c r="A738" s="66"/>
      <c r="B738" s="134"/>
      <c r="C738" s="134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</row>
    <row r="739">
      <c r="A739" s="66"/>
      <c r="B739" s="134"/>
      <c r="C739" s="134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</row>
    <row r="740">
      <c r="A740" s="66"/>
      <c r="B740" s="134"/>
      <c r="C740" s="134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</row>
    <row r="741">
      <c r="A741" s="66"/>
      <c r="B741" s="134"/>
      <c r="C741" s="134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</row>
    <row r="742">
      <c r="A742" s="66"/>
      <c r="B742" s="134"/>
      <c r="C742" s="134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</row>
    <row r="743">
      <c r="A743" s="66"/>
      <c r="B743" s="134"/>
      <c r="C743" s="134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</row>
    <row r="744">
      <c r="A744" s="66"/>
      <c r="B744" s="134"/>
      <c r="C744" s="134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</row>
    <row r="745">
      <c r="A745" s="66"/>
      <c r="B745" s="134"/>
      <c r="C745" s="134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</row>
    <row r="746">
      <c r="A746" s="66"/>
      <c r="B746" s="134"/>
      <c r="C746" s="134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</row>
    <row r="747">
      <c r="A747" s="66"/>
      <c r="B747" s="134"/>
      <c r="C747" s="134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</row>
    <row r="748">
      <c r="A748" s="66"/>
      <c r="B748" s="134"/>
      <c r="C748" s="134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</row>
    <row r="749">
      <c r="A749" s="66"/>
      <c r="B749" s="134"/>
      <c r="C749" s="134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</row>
    <row r="750">
      <c r="A750" s="66"/>
      <c r="B750" s="134"/>
      <c r="C750" s="134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</row>
    <row r="751">
      <c r="A751" s="66"/>
      <c r="B751" s="134"/>
      <c r="C751" s="134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</row>
    <row r="752">
      <c r="A752" s="66"/>
      <c r="B752" s="134"/>
      <c r="C752" s="134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</row>
    <row r="753">
      <c r="A753" s="66"/>
      <c r="B753" s="134"/>
      <c r="C753" s="134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</row>
    <row r="754">
      <c r="A754" s="66"/>
      <c r="B754" s="134"/>
      <c r="C754" s="134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</row>
    <row r="755">
      <c r="A755" s="66"/>
      <c r="B755" s="134"/>
      <c r="C755" s="134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</row>
    <row r="756">
      <c r="A756" s="66"/>
      <c r="B756" s="134"/>
      <c r="C756" s="134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</row>
    <row r="757">
      <c r="A757" s="66"/>
      <c r="B757" s="134"/>
      <c r="C757" s="134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</row>
    <row r="758">
      <c r="A758" s="66"/>
      <c r="B758" s="134"/>
      <c r="C758" s="134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</row>
    <row r="759">
      <c r="A759" s="66"/>
      <c r="B759" s="134"/>
      <c r="C759" s="134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</row>
    <row r="760">
      <c r="A760" s="66"/>
      <c r="B760" s="134"/>
      <c r="C760" s="134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</row>
    <row r="761">
      <c r="A761" s="66"/>
      <c r="B761" s="134"/>
      <c r="C761" s="134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</row>
    <row r="762">
      <c r="A762" s="66"/>
      <c r="B762" s="134"/>
      <c r="C762" s="134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</row>
    <row r="763">
      <c r="A763" s="66"/>
      <c r="B763" s="134"/>
      <c r="C763" s="134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</row>
    <row r="764">
      <c r="A764" s="66"/>
      <c r="B764" s="134"/>
      <c r="C764" s="134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</row>
    <row r="765">
      <c r="A765" s="66"/>
      <c r="B765" s="134"/>
      <c r="C765" s="134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</row>
    <row r="766">
      <c r="A766" s="66"/>
      <c r="B766" s="134"/>
      <c r="C766" s="134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</row>
    <row r="767">
      <c r="A767" s="66"/>
      <c r="B767" s="134"/>
      <c r="C767" s="134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</row>
    <row r="768">
      <c r="A768" s="66"/>
      <c r="B768" s="134"/>
      <c r="C768" s="134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</row>
    <row r="769">
      <c r="A769" s="66"/>
      <c r="B769" s="134"/>
      <c r="C769" s="134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</row>
    <row r="770">
      <c r="A770" s="66"/>
      <c r="B770" s="134"/>
      <c r="C770" s="134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</row>
    <row r="771">
      <c r="A771" s="66"/>
      <c r="B771" s="134"/>
      <c r="C771" s="134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</row>
    <row r="772">
      <c r="A772" s="66"/>
      <c r="B772" s="134"/>
      <c r="C772" s="134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</row>
    <row r="773">
      <c r="A773" s="66"/>
      <c r="B773" s="134"/>
      <c r="C773" s="134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</row>
    <row r="774">
      <c r="A774" s="66"/>
      <c r="B774" s="134"/>
      <c r="C774" s="134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</row>
    <row r="775">
      <c r="A775" s="66"/>
      <c r="B775" s="134"/>
      <c r="C775" s="134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</row>
    <row r="776">
      <c r="A776" s="66"/>
      <c r="B776" s="134"/>
      <c r="C776" s="134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</row>
    <row r="777">
      <c r="A777" s="66"/>
      <c r="B777" s="134"/>
      <c r="C777" s="134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</row>
    <row r="778">
      <c r="A778" s="66"/>
      <c r="B778" s="134"/>
      <c r="C778" s="134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</row>
    <row r="779">
      <c r="A779" s="66"/>
      <c r="B779" s="134"/>
      <c r="C779" s="134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</row>
    <row r="780">
      <c r="A780" s="66"/>
      <c r="B780" s="134"/>
      <c r="C780" s="134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</row>
    <row r="781">
      <c r="A781" s="66"/>
      <c r="B781" s="134"/>
      <c r="C781" s="134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</row>
    <row r="782">
      <c r="A782" s="66"/>
      <c r="B782" s="134"/>
      <c r="C782" s="134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</row>
    <row r="783">
      <c r="A783" s="66"/>
      <c r="B783" s="134"/>
      <c r="C783" s="134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</row>
    <row r="784">
      <c r="A784" s="66"/>
      <c r="B784" s="134"/>
      <c r="C784" s="134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</row>
    <row r="785">
      <c r="A785" s="66"/>
      <c r="B785" s="134"/>
      <c r="C785" s="134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</row>
    <row r="786">
      <c r="A786" s="66"/>
      <c r="B786" s="134"/>
      <c r="C786" s="134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</row>
    <row r="787">
      <c r="A787" s="66"/>
      <c r="B787" s="134"/>
      <c r="C787" s="134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</row>
    <row r="788">
      <c r="A788" s="66"/>
      <c r="B788" s="134"/>
      <c r="C788" s="134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</row>
    <row r="789">
      <c r="A789" s="66"/>
      <c r="B789" s="134"/>
      <c r="C789" s="134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</row>
    <row r="790">
      <c r="A790" s="66"/>
      <c r="B790" s="134"/>
      <c r="C790" s="134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</row>
    <row r="791">
      <c r="A791" s="66"/>
      <c r="B791" s="134"/>
      <c r="C791" s="134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</row>
    <row r="792">
      <c r="A792" s="66"/>
      <c r="B792" s="134"/>
      <c r="C792" s="134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</row>
    <row r="793">
      <c r="A793" s="66"/>
      <c r="B793" s="134"/>
      <c r="C793" s="134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</row>
    <row r="794">
      <c r="A794" s="66"/>
      <c r="B794" s="134"/>
      <c r="C794" s="134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</row>
    <row r="795">
      <c r="A795" s="66"/>
      <c r="B795" s="134"/>
      <c r="C795" s="134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</row>
    <row r="796">
      <c r="A796" s="66"/>
      <c r="B796" s="134"/>
      <c r="C796" s="134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</row>
    <row r="797">
      <c r="A797" s="66"/>
      <c r="B797" s="134"/>
      <c r="C797" s="134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</row>
    <row r="798">
      <c r="A798" s="66"/>
      <c r="B798" s="134"/>
      <c r="C798" s="134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</row>
    <row r="799">
      <c r="A799" s="66"/>
      <c r="B799" s="134"/>
      <c r="C799" s="134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</row>
    <row r="800">
      <c r="A800" s="66"/>
      <c r="B800" s="134"/>
      <c r="C800" s="134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</row>
    <row r="801">
      <c r="A801" s="66"/>
      <c r="B801" s="134"/>
      <c r="C801" s="134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</row>
    <row r="802">
      <c r="A802" s="66"/>
      <c r="B802" s="134"/>
      <c r="C802" s="134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</row>
    <row r="803">
      <c r="A803" s="66"/>
      <c r="B803" s="134"/>
      <c r="C803" s="134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</row>
    <row r="804">
      <c r="A804" s="66"/>
      <c r="B804" s="134"/>
      <c r="C804" s="134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</row>
    <row r="805">
      <c r="A805" s="66"/>
      <c r="B805" s="134"/>
      <c r="C805" s="134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</row>
    <row r="806">
      <c r="A806" s="66"/>
      <c r="B806" s="134"/>
      <c r="C806" s="134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</row>
    <row r="807">
      <c r="A807" s="66"/>
      <c r="B807" s="134"/>
      <c r="C807" s="134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</row>
    <row r="808">
      <c r="A808" s="66"/>
      <c r="B808" s="134"/>
      <c r="C808" s="134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</row>
    <row r="809">
      <c r="A809" s="66"/>
      <c r="B809" s="134"/>
      <c r="C809" s="134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</row>
    <row r="810">
      <c r="A810" s="66"/>
      <c r="B810" s="134"/>
      <c r="C810" s="134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</row>
    <row r="811">
      <c r="A811" s="66"/>
      <c r="B811" s="134"/>
      <c r="C811" s="134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</row>
    <row r="812">
      <c r="A812" s="66"/>
      <c r="B812" s="134"/>
      <c r="C812" s="134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</row>
    <row r="813">
      <c r="A813" s="66"/>
      <c r="B813" s="134"/>
      <c r="C813" s="134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</row>
    <row r="814">
      <c r="A814" s="66"/>
      <c r="B814" s="134"/>
      <c r="C814" s="134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</row>
    <row r="815">
      <c r="A815" s="66"/>
      <c r="B815" s="134"/>
      <c r="C815" s="134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</row>
    <row r="816">
      <c r="A816" s="66"/>
      <c r="B816" s="134"/>
      <c r="C816" s="134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</row>
    <row r="817">
      <c r="A817" s="66"/>
      <c r="B817" s="134"/>
      <c r="C817" s="134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</row>
    <row r="818">
      <c r="A818" s="66"/>
      <c r="B818" s="134"/>
      <c r="C818" s="134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</row>
    <row r="819">
      <c r="A819" s="66"/>
      <c r="B819" s="134"/>
      <c r="C819" s="134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</row>
    <row r="820">
      <c r="A820" s="66"/>
      <c r="B820" s="134"/>
      <c r="C820" s="134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</row>
    <row r="821">
      <c r="A821" s="66"/>
      <c r="B821" s="134"/>
      <c r="C821" s="134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</row>
    <row r="822">
      <c r="A822" s="66"/>
      <c r="B822" s="134"/>
      <c r="C822" s="134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</row>
    <row r="823">
      <c r="A823" s="66"/>
      <c r="B823" s="134"/>
      <c r="C823" s="134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</row>
    <row r="824">
      <c r="A824" s="66"/>
      <c r="B824" s="134"/>
      <c r="C824" s="134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</row>
    <row r="825">
      <c r="A825" s="66"/>
      <c r="B825" s="134"/>
      <c r="C825" s="134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</row>
    <row r="826">
      <c r="A826" s="66"/>
      <c r="B826" s="134"/>
      <c r="C826" s="134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</row>
    <row r="827">
      <c r="A827" s="66"/>
      <c r="B827" s="134"/>
      <c r="C827" s="134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</row>
    <row r="828">
      <c r="A828" s="66"/>
      <c r="B828" s="134"/>
      <c r="C828" s="134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</row>
    <row r="829">
      <c r="A829" s="66"/>
      <c r="B829" s="134"/>
      <c r="C829" s="134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</row>
    <row r="830">
      <c r="A830" s="66"/>
      <c r="B830" s="134"/>
      <c r="C830" s="134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</row>
    <row r="831">
      <c r="A831" s="66"/>
      <c r="B831" s="134"/>
      <c r="C831" s="134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</row>
    <row r="832">
      <c r="A832" s="66"/>
      <c r="B832" s="134"/>
      <c r="C832" s="134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</row>
    <row r="833">
      <c r="A833" s="66"/>
      <c r="B833" s="134"/>
      <c r="C833" s="134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</row>
    <row r="834">
      <c r="A834" s="66"/>
      <c r="B834" s="134"/>
      <c r="C834" s="134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</row>
    <row r="835">
      <c r="A835" s="66"/>
      <c r="B835" s="134"/>
      <c r="C835" s="134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</row>
    <row r="836">
      <c r="A836" s="66"/>
      <c r="B836" s="134"/>
      <c r="C836" s="134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</row>
    <row r="837">
      <c r="A837" s="66"/>
      <c r="B837" s="134"/>
      <c r="C837" s="134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</row>
    <row r="838">
      <c r="A838" s="66"/>
      <c r="B838" s="134"/>
      <c r="C838" s="134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</row>
    <row r="839">
      <c r="A839" s="66"/>
      <c r="B839" s="134"/>
      <c r="C839" s="134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</row>
    <row r="840">
      <c r="A840" s="66"/>
      <c r="B840" s="134"/>
      <c r="C840" s="134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</row>
    <row r="841">
      <c r="A841" s="66"/>
      <c r="B841" s="134"/>
      <c r="C841" s="134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</row>
    <row r="842">
      <c r="A842" s="66"/>
      <c r="B842" s="134"/>
      <c r="C842" s="134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</row>
    <row r="843">
      <c r="A843" s="66"/>
      <c r="B843" s="134"/>
      <c r="C843" s="134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</row>
    <row r="844">
      <c r="A844" s="66"/>
      <c r="B844" s="134"/>
      <c r="C844" s="134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</row>
    <row r="845">
      <c r="A845" s="66"/>
      <c r="B845" s="134"/>
      <c r="C845" s="134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</row>
    <row r="846">
      <c r="A846" s="66"/>
      <c r="B846" s="134"/>
      <c r="C846" s="134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</row>
    <row r="847">
      <c r="A847" s="66"/>
      <c r="B847" s="134"/>
      <c r="C847" s="134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</row>
    <row r="848">
      <c r="A848" s="66"/>
      <c r="B848" s="134"/>
      <c r="C848" s="134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</row>
    <row r="849">
      <c r="A849" s="66"/>
      <c r="B849" s="134"/>
      <c r="C849" s="134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</row>
    <row r="850">
      <c r="A850" s="66"/>
      <c r="B850" s="134"/>
      <c r="C850" s="134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</row>
    <row r="851">
      <c r="A851" s="66"/>
      <c r="B851" s="134"/>
      <c r="C851" s="134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</row>
    <row r="852">
      <c r="A852" s="66"/>
      <c r="B852" s="134"/>
      <c r="C852" s="134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</row>
    <row r="853">
      <c r="A853" s="66"/>
      <c r="B853" s="134"/>
      <c r="C853" s="134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</row>
    <row r="854">
      <c r="A854" s="66"/>
      <c r="B854" s="134"/>
      <c r="C854" s="134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</row>
    <row r="855">
      <c r="A855" s="66"/>
      <c r="B855" s="134"/>
      <c r="C855" s="134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</row>
    <row r="856">
      <c r="A856" s="66"/>
      <c r="B856" s="134"/>
      <c r="C856" s="134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</row>
    <row r="857">
      <c r="A857" s="66"/>
      <c r="B857" s="134"/>
      <c r="C857" s="134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</row>
    <row r="858">
      <c r="A858" s="66"/>
      <c r="B858" s="134"/>
      <c r="C858" s="134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</row>
    <row r="859">
      <c r="A859" s="66"/>
      <c r="B859" s="134"/>
      <c r="C859" s="134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</row>
    <row r="860">
      <c r="A860" s="66"/>
      <c r="B860" s="134"/>
      <c r="C860" s="134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</row>
    <row r="861">
      <c r="A861" s="66"/>
      <c r="B861" s="134"/>
      <c r="C861" s="134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</row>
    <row r="862">
      <c r="A862" s="66"/>
      <c r="B862" s="134"/>
      <c r="C862" s="134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</row>
    <row r="863">
      <c r="A863" s="66"/>
      <c r="B863" s="134"/>
      <c r="C863" s="134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</row>
    <row r="864">
      <c r="A864" s="66"/>
      <c r="B864" s="134"/>
      <c r="C864" s="134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</row>
    <row r="865">
      <c r="A865" s="66"/>
      <c r="B865" s="134"/>
      <c r="C865" s="134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</row>
    <row r="866">
      <c r="A866" s="66"/>
      <c r="B866" s="134"/>
      <c r="C866" s="134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</row>
    <row r="867">
      <c r="A867" s="66"/>
      <c r="B867" s="134"/>
      <c r="C867" s="134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</row>
    <row r="868">
      <c r="A868" s="66"/>
      <c r="B868" s="134"/>
      <c r="C868" s="134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</row>
    <row r="869">
      <c r="A869" s="66"/>
      <c r="B869" s="134"/>
      <c r="C869" s="134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</row>
    <row r="870">
      <c r="A870" s="66"/>
      <c r="B870" s="134"/>
      <c r="C870" s="134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</row>
    <row r="871">
      <c r="A871" s="66"/>
      <c r="B871" s="134"/>
      <c r="C871" s="134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</row>
    <row r="872">
      <c r="A872" s="66"/>
      <c r="B872" s="134"/>
      <c r="C872" s="134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</row>
    <row r="873">
      <c r="A873" s="66"/>
      <c r="B873" s="134"/>
      <c r="C873" s="134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</row>
    <row r="874">
      <c r="A874" s="66"/>
      <c r="B874" s="134"/>
      <c r="C874" s="134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</row>
    <row r="875">
      <c r="A875" s="66"/>
      <c r="B875" s="134"/>
      <c r="C875" s="134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</row>
    <row r="876">
      <c r="A876" s="66"/>
      <c r="B876" s="134"/>
      <c r="C876" s="134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</row>
    <row r="877">
      <c r="A877" s="66"/>
      <c r="B877" s="134"/>
      <c r="C877" s="134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</row>
    <row r="878">
      <c r="A878" s="66"/>
      <c r="B878" s="134"/>
      <c r="C878" s="134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</row>
    <row r="879">
      <c r="A879" s="66"/>
      <c r="B879" s="134"/>
      <c r="C879" s="134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</row>
    <row r="880">
      <c r="A880" s="66"/>
      <c r="B880" s="134"/>
      <c r="C880" s="134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</row>
    <row r="881">
      <c r="A881" s="66"/>
      <c r="B881" s="134"/>
      <c r="C881" s="134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</row>
    <row r="882">
      <c r="A882" s="66"/>
      <c r="B882" s="134"/>
      <c r="C882" s="134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</row>
    <row r="883">
      <c r="A883" s="66"/>
      <c r="B883" s="134"/>
      <c r="C883" s="134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</row>
    <row r="884">
      <c r="A884" s="66"/>
      <c r="B884" s="134"/>
      <c r="C884" s="134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</row>
    <row r="885">
      <c r="A885" s="66"/>
      <c r="B885" s="134"/>
      <c r="C885" s="134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</row>
    <row r="886">
      <c r="A886" s="66"/>
      <c r="B886" s="134"/>
      <c r="C886" s="134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</row>
    <row r="887">
      <c r="A887" s="66"/>
      <c r="B887" s="134"/>
      <c r="C887" s="134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</row>
    <row r="888">
      <c r="A888" s="66"/>
      <c r="B888" s="134"/>
      <c r="C888" s="134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</row>
    <row r="889">
      <c r="A889" s="66"/>
      <c r="B889" s="134"/>
      <c r="C889" s="134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</row>
    <row r="890">
      <c r="A890" s="66"/>
      <c r="B890" s="134"/>
      <c r="C890" s="134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</row>
    <row r="891">
      <c r="A891" s="66"/>
      <c r="B891" s="134"/>
      <c r="C891" s="134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</row>
    <row r="892">
      <c r="A892" s="66"/>
      <c r="B892" s="134"/>
      <c r="C892" s="134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</row>
    <row r="893">
      <c r="A893" s="66"/>
      <c r="B893" s="134"/>
      <c r="C893" s="134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</row>
    <row r="894">
      <c r="A894" s="66"/>
      <c r="B894" s="134"/>
      <c r="C894" s="134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</row>
    <row r="895">
      <c r="A895" s="66"/>
      <c r="B895" s="134"/>
      <c r="C895" s="134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</row>
    <row r="896">
      <c r="A896" s="66"/>
      <c r="B896" s="134"/>
      <c r="C896" s="134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</row>
    <row r="897">
      <c r="A897" s="66"/>
      <c r="B897" s="134"/>
      <c r="C897" s="134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</row>
    <row r="898">
      <c r="A898" s="66"/>
      <c r="B898" s="134"/>
      <c r="C898" s="134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</row>
    <row r="899">
      <c r="A899" s="66"/>
      <c r="B899" s="134"/>
      <c r="C899" s="134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</row>
    <row r="900">
      <c r="A900" s="66"/>
      <c r="B900" s="134"/>
      <c r="C900" s="134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</row>
    <row r="901">
      <c r="A901" s="66"/>
      <c r="B901" s="134"/>
      <c r="C901" s="134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</row>
    <row r="902">
      <c r="A902" s="66"/>
      <c r="B902" s="134"/>
      <c r="C902" s="134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</row>
    <row r="903">
      <c r="A903" s="66"/>
      <c r="B903" s="134"/>
      <c r="C903" s="134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</row>
    <row r="904">
      <c r="A904" s="66"/>
      <c r="B904" s="134"/>
      <c r="C904" s="134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</row>
    <row r="905">
      <c r="A905" s="66"/>
      <c r="B905" s="134"/>
      <c r="C905" s="134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</row>
    <row r="906">
      <c r="A906" s="66"/>
      <c r="B906" s="134"/>
      <c r="C906" s="134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</row>
    <row r="907">
      <c r="A907" s="66"/>
      <c r="B907" s="134"/>
      <c r="C907" s="134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</row>
    <row r="908">
      <c r="A908" s="66"/>
      <c r="B908" s="134"/>
      <c r="C908" s="134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</row>
    <row r="909">
      <c r="A909" s="66"/>
      <c r="B909" s="134"/>
      <c r="C909" s="134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</row>
    <row r="910">
      <c r="A910" s="66"/>
      <c r="B910" s="134"/>
      <c r="C910" s="134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</row>
    <row r="911">
      <c r="A911" s="66"/>
      <c r="B911" s="134"/>
      <c r="C911" s="134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</row>
    <row r="912">
      <c r="A912" s="66"/>
      <c r="B912" s="134"/>
      <c r="C912" s="134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</row>
    <row r="913">
      <c r="A913" s="66"/>
      <c r="B913" s="134"/>
      <c r="C913" s="134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</row>
    <row r="914">
      <c r="A914" s="66"/>
      <c r="B914" s="134"/>
      <c r="C914" s="134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</row>
    <row r="915">
      <c r="A915" s="66"/>
      <c r="B915" s="134"/>
      <c r="C915" s="134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</row>
    <row r="916">
      <c r="A916" s="66"/>
      <c r="B916" s="134"/>
      <c r="C916" s="134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</row>
    <row r="917">
      <c r="A917" s="66"/>
      <c r="B917" s="134"/>
      <c r="C917" s="134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</row>
    <row r="918">
      <c r="A918" s="66"/>
      <c r="B918" s="134"/>
      <c r="C918" s="134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</row>
    <row r="919">
      <c r="A919" s="66"/>
      <c r="B919" s="134"/>
      <c r="C919" s="134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</row>
    <row r="920">
      <c r="A920" s="66"/>
      <c r="B920" s="134"/>
      <c r="C920" s="134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</row>
    <row r="921">
      <c r="A921" s="66"/>
      <c r="B921" s="134"/>
      <c r="C921" s="134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</row>
    <row r="922">
      <c r="A922" s="66"/>
      <c r="B922" s="134"/>
      <c r="C922" s="134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</row>
    <row r="923">
      <c r="A923" s="66"/>
      <c r="B923" s="134"/>
      <c r="C923" s="134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</row>
    <row r="924">
      <c r="A924" s="66"/>
      <c r="B924" s="134"/>
      <c r="C924" s="134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</row>
    <row r="925">
      <c r="A925" s="66"/>
      <c r="B925" s="134"/>
      <c r="C925" s="134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</row>
    <row r="926">
      <c r="A926" s="66"/>
      <c r="B926" s="134"/>
      <c r="C926" s="134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</row>
    <row r="927">
      <c r="A927" s="66"/>
      <c r="B927" s="134"/>
      <c r="C927" s="134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</row>
    <row r="928">
      <c r="A928" s="66"/>
      <c r="B928" s="134"/>
      <c r="C928" s="134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</row>
    <row r="929">
      <c r="A929" s="66"/>
      <c r="B929" s="134"/>
      <c r="C929" s="134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</row>
    <row r="930">
      <c r="A930" s="66"/>
      <c r="B930" s="134"/>
      <c r="C930" s="134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</row>
    <row r="931">
      <c r="A931" s="66"/>
      <c r="B931" s="134"/>
      <c r="C931" s="134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</row>
    <row r="932">
      <c r="A932" s="66"/>
      <c r="B932" s="134"/>
      <c r="C932" s="134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</row>
    <row r="933">
      <c r="A933" s="66"/>
      <c r="B933" s="134"/>
      <c r="C933" s="134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</row>
    <row r="934">
      <c r="A934" s="66"/>
      <c r="B934" s="134"/>
      <c r="C934" s="134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</row>
    <row r="935">
      <c r="A935" s="66"/>
      <c r="B935" s="134"/>
      <c r="C935" s="134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</row>
    <row r="936">
      <c r="A936" s="66"/>
      <c r="B936" s="134"/>
      <c r="C936" s="134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</row>
    <row r="937">
      <c r="A937" s="66"/>
      <c r="B937" s="134"/>
      <c r="C937" s="134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</row>
    <row r="938">
      <c r="A938" s="66"/>
      <c r="B938" s="134"/>
      <c r="C938" s="134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</row>
    <row r="939">
      <c r="A939" s="66"/>
      <c r="B939" s="134"/>
      <c r="C939" s="134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</row>
    <row r="940">
      <c r="A940" s="66"/>
      <c r="B940" s="134"/>
      <c r="C940" s="134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</row>
    <row r="941">
      <c r="A941" s="66"/>
      <c r="B941" s="134"/>
      <c r="C941" s="134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</row>
    <row r="942">
      <c r="A942" s="66"/>
      <c r="B942" s="134"/>
      <c r="C942" s="134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</row>
    <row r="943">
      <c r="A943" s="66"/>
      <c r="B943" s="134"/>
      <c r="C943" s="134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</row>
    <row r="944">
      <c r="A944" s="66"/>
      <c r="B944" s="134"/>
      <c r="C944" s="134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</row>
    <row r="945">
      <c r="A945" s="66"/>
      <c r="B945" s="134"/>
      <c r="C945" s="134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</row>
    <row r="946">
      <c r="A946" s="66"/>
      <c r="B946" s="134"/>
      <c r="C946" s="134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</row>
    <row r="947">
      <c r="A947" s="66"/>
      <c r="B947" s="134"/>
      <c r="C947" s="134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</row>
    <row r="948">
      <c r="A948" s="66"/>
      <c r="B948" s="134"/>
      <c r="C948" s="134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</row>
    <row r="949">
      <c r="A949" s="66"/>
      <c r="B949" s="134"/>
      <c r="C949" s="134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</row>
    <row r="950">
      <c r="A950" s="66"/>
      <c r="B950" s="134"/>
      <c r="C950" s="134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</row>
    <row r="951">
      <c r="A951" s="66"/>
      <c r="B951" s="134"/>
      <c r="C951" s="134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</row>
    <row r="952">
      <c r="A952" s="66"/>
      <c r="B952" s="134"/>
      <c r="C952" s="134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</row>
    <row r="953">
      <c r="A953" s="66"/>
      <c r="B953" s="134"/>
      <c r="C953" s="134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</row>
    <row r="954">
      <c r="A954" s="66"/>
      <c r="B954" s="134"/>
      <c r="C954" s="134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</row>
    <row r="955">
      <c r="A955" s="66"/>
      <c r="B955" s="134"/>
      <c r="C955" s="134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</row>
    <row r="956">
      <c r="A956" s="66"/>
      <c r="B956" s="134"/>
      <c r="C956" s="134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</row>
    <row r="957">
      <c r="A957" s="66"/>
      <c r="B957" s="134"/>
      <c r="C957" s="134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</row>
  </sheetData>
  <autoFilter ref="$A$1:$AA$87"/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1" t="s">
        <v>0</v>
      </c>
      <c r="B2" s="11" t="s">
        <v>9</v>
      </c>
      <c r="C2" s="11" t="s">
        <v>11</v>
      </c>
      <c r="D2" s="11" t="s">
        <v>12</v>
      </c>
      <c r="E2" s="11" t="s">
        <v>14</v>
      </c>
      <c r="F2" s="11" t="s">
        <v>16</v>
      </c>
    </row>
  </sheetData>
  <drawing r:id="rId1"/>
</worksheet>
</file>